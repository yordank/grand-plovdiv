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Въвеждане" sheetId="1" state="visible" r:id="rId3"/>
    <sheet name="Обекти" sheetId="2" state="visible" r:id="rId4"/>
    <sheet name="Бележка" sheetId="3" state="visible" r:id="rId5"/>
  </sheets>
  <definedNames>
    <definedName function="false" hidden="true" localSheetId="1" name="_xlnm._FilterDatabase" vbProcedure="false">Обекти!$A$4:$P$261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Arial"/>
            <family val="2"/>
          </rPr>
          <t xml:space="preserve">Допускане: приспаднатите приходи намаляват перо 1 (постоянни разходи). Методиката не казва от кое перо се приспадат — да се уточни с управителя.</t>
        </r>
      </text>
    </comment>
  </commentList>
</comments>
</file>

<file path=xl/sharedStrings.xml><?xml version="1.0" encoding="utf-8"?>
<sst xmlns="http://schemas.openxmlformats.org/spreadsheetml/2006/main" count="604" uniqueCount="341">
  <si>
    <t xml:space="preserve">ТАЦ „Гранд“ — месечно разпределение на разходите за общите части</t>
  </si>
  <si>
    <t xml:space="preserve">По Методика, Приложение № 8 към Протокол от ОС на ЕС от 06.10.2026 г. Всички суми са в евро.</t>
  </si>
  <si>
    <t xml:space="preserve">Попълват се само жълтите клетки (син текст). Стойностите по-долу са ПРИМЕРНИ.</t>
  </si>
  <si>
    <t xml:space="preserve">Отчетен месец</t>
  </si>
  <si>
    <t xml:space="preserve">януари 2027</t>
  </si>
  <si>
    <t xml:space="preserve">Текст</t>
  </si>
  <si>
    <t xml:space="preserve">1. Постоянни текущи разходи (чл. 4, т. 1)</t>
  </si>
  <si>
    <t xml:space="preserve">Охрана, чистене, асансьори, заплати, счетоводство и др. Делят се поравно (чл. 5).</t>
  </si>
  <si>
    <t xml:space="preserve">2. Вода (ВиК) за общите части (чл. 4, т. 2)</t>
  </si>
  <si>
    <t xml:space="preserve">Делят се поравно между участващите обекти (чл. 6).</t>
  </si>
  <si>
    <t xml:space="preserve">3. Електроенергия за общите части (чл. 4, т. 3)</t>
  </si>
  <si>
    <t xml:space="preserve">Дели се по идеални части без терасите (чл. 7).</t>
  </si>
  <si>
    <t xml:space="preserve">4. Електроенергия за ОВК / чилъри (чл. 4, т. 4)</t>
  </si>
  <si>
    <t xml:space="preserve">Дели се по идеални части на обслужваните обекти от етажи 1–3 (чл. 8).</t>
  </si>
  <si>
    <t xml:space="preserve">Приходи от общите части за месеца (чл. 10)</t>
  </si>
  <si>
    <t xml:space="preserve">Реклама, LED екран, санитарни помещения, автомати и др.</t>
  </si>
  <si>
    <t xml:space="preserve">Каква част от приходите се приспада</t>
  </si>
  <si>
    <t xml:space="preserve">100% = основно правило (чл. 10, ал. 1). 0% или по-малко при изключенията по чл. 10, ал. 2.</t>
  </si>
  <si>
    <t xml:space="preserve">Изчисление</t>
  </si>
  <si>
    <t xml:space="preserve">Приспаднати приходи</t>
  </si>
  <si>
    <t xml:space="preserve">Постоянни разходи за разпределяне (след приходите)</t>
  </si>
  <si>
    <t xml:space="preserve">Допускане: приходите се приспадат от постоянните разходи.</t>
  </si>
  <si>
    <t xml:space="preserve">Справка към собствениците (чл. 11)</t>
  </si>
  <si>
    <t xml:space="preserve">Перо</t>
  </si>
  <si>
    <t xml:space="preserve">Сума за разпределяне</t>
  </si>
  <si>
    <t xml:space="preserve">Брой / база</t>
  </si>
  <si>
    <t xml:space="preserve">Разпределено по обекти</t>
  </si>
  <si>
    <t xml:space="preserve">Проверка</t>
  </si>
  <si>
    <t xml:space="preserve">Постоянни разходи (поравно)</t>
  </si>
  <si>
    <t xml:space="preserve">Вода общи части (поравно)</t>
  </si>
  <si>
    <t xml:space="preserve">Ток общи части (по ид. части)</t>
  </si>
  <si>
    <t xml:space="preserve">Ток чилъри (по ид. части)</t>
  </si>
  <si>
    <t xml:space="preserve">ОБЩО</t>
  </si>
  <si>
    <t xml:space="preserve">Колона „Брой / база“: за поравните пера е броят участващи обекти, за пропорционалните е сборът на идеалните им части (%).</t>
  </si>
  <si>
    <t xml:space="preserve">Допускания, които трябва да потвърди управителят</t>
  </si>
  <si>
    <t xml:space="preserve">• Хипермаркетът е обект „ЛЕКСИ“.</t>
  </si>
  <si>
    <t xml:space="preserve">• Всеки ред от списъка (вкл. 2-23-1 и 2-23-2 и т.н.) е отделен обект при поравното деление.</t>
  </si>
  <si>
    <t xml:space="preserve">• Обекти 1-70 и 1-71 (0% ид. части) участват в поравните пера.</t>
  </si>
  <si>
    <t xml:space="preserve">• „Обща тераса“ се третира като тераса и не плаща.</t>
  </si>
  <si>
    <t xml:space="preserve">• Към чилърите са свързани всички обекти на етажи 1–3. Дискотека-КА1 и Кафе -2.25 НЕ са свързани; ПИБ и Фреш бар СА свързани.</t>
  </si>
  <si>
    <t xml:space="preserve">• Дискотека-КА1, Кафе -2.25, ПИБ и Фреш бар участват във водата (фасада).</t>
  </si>
  <si>
    <t xml:space="preserve">• Всичко това се сменя в лист „Обекти“, колони H–K (1 = участва, 0 = не участва).</t>
  </si>
  <si>
    <t xml:space="preserve">Обекти и разпределение</t>
  </si>
  <si>
    <t xml:space="preserve">Колони H–K (жълти) са отметки: 1 = участва, 0 = не участва. Попълнени са по методиката; сменят се при нужда. Колони L–P се смятат сами.</t>
  </si>
  <si>
    <t xml:space="preserve">№</t>
  </si>
  <si>
    <t xml:space="preserve">Обект</t>
  </si>
  <si>
    <t xml:space="preserve">Ид. част %</t>
  </si>
  <si>
    <t xml:space="preserve">Вид</t>
  </si>
  <si>
    <t xml:space="preserve">Етаж</t>
  </si>
  <si>
    <t xml:space="preserve">Бележка</t>
  </si>
  <si>
    <t xml:space="preserve">Участва: постоянни</t>
  </si>
  <si>
    <t xml:space="preserve">Участва: вода</t>
  </si>
  <si>
    <t xml:space="preserve">Участва: ток общи</t>
  </si>
  <si>
    <t xml:space="preserve">Участва: чилъри</t>
  </si>
  <si>
    <t xml:space="preserve">Постоянни €</t>
  </si>
  <si>
    <t xml:space="preserve">Вода €</t>
  </si>
  <si>
    <t xml:space="preserve">Ток общи €</t>
  </si>
  <si>
    <t xml:space="preserve">Чилъри €</t>
  </si>
  <si>
    <t xml:space="preserve">ОБЩО €</t>
  </si>
  <si>
    <t xml:space="preserve">ГАРАЖ</t>
  </si>
  <si>
    <t xml:space="preserve">гараж</t>
  </si>
  <si>
    <t xml:space="preserve">Дискотека-КА1</t>
  </si>
  <si>
    <t xml:space="preserve">обект</t>
  </si>
  <si>
    <t xml:space="preserve">?</t>
  </si>
  <si>
    <t xml:space="preserve">Етажът не е известен — провери</t>
  </si>
  <si>
    <t xml:space="preserve">ЛЕКСИ</t>
  </si>
  <si>
    <t xml:space="preserve">хипермаркет</t>
  </si>
  <si>
    <t xml:space="preserve">Допускане: хипермаркет</t>
  </si>
  <si>
    <t xml:space="preserve">Кафе -2.25</t>
  </si>
  <si>
    <t xml:space="preserve">1-67</t>
  </si>
  <si>
    <t xml:space="preserve">1-68</t>
  </si>
  <si>
    <t xml:space="preserve">1-69 Виваком</t>
  </si>
  <si>
    <t xml:space="preserve">ПИБ</t>
  </si>
  <si>
    <t xml:space="preserve">ФРЕШ БАР</t>
  </si>
  <si>
    <t xml:space="preserve">1-1</t>
  </si>
  <si>
    <t xml:space="preserve">1-2</t>
  </si>
  <si>
    <t xml:space="preserve">1-3</t>
  </si>
  <si>
    <t xml:space="preserve">1-4</t>
  </si>
  <si>
    <t xml:space="preserve">1-5</t>
  </si>
  <si>
    <t xml:space="preserve">1-6</t>
  </si>
  <si>
    <t xml:space="preserve">1-7</t>
  </si>
  <si>
    <t xml:space="preserve">1-8</t>
  </si>
  <si>
    <t xml:space="preserve">1-9</t>
  </si>
  <si>
    <t xml:space="preserve">1-10</t>
  </si>
  <si>
    <t xml:space="preserve">1-11</t>
  </si>
  <si>
    <t xml:space="preserve">1-12</t>
  </si>
  <si>
    <t xml:space="preserve">1-13</t>
  </si>
  <si>
    <t xml:space="preserve">1-14</t>
  </si>
  <si>
    <t xml:space="preserve">1-15</t>
  </si>
  <si>
    <t xml:space="preserve">1-16</t>
  </si>
  <si>
    <t xml:space="preserve">1-17</t>
  </si>
  <si>
    <t xml:space="preserve">1-18</t>
  </si>
  <si>
    <t xml:space="preserve">1-19</t>
  </si>
  <si>
    <t xml:space="preserve">1-20</t>
  </si>
  <si>
    <t xml:space="preserve">1-21</t>
  </si>
  <si>
    <t xml:space="preserve">1-22</t>
  </si>
  <si>
    <t xml:space="preserve">1-23</t>
  </si>
  <si>
    <t xml:space="preserve">1-24</t>
  </si>
  <si>
    <t xml:space="preserve">1-25</t>
  </si>
  <si>
    <t xml:space="preserve">1-26</t>
  </si>
  <si>
    <t xml:space="preserve">1-27</t>
  </si>
  <si>
    <t xml:space="preserve">1-28</t>
  </si>
  <si>
    <t xml:space="preserve">1-29</t>
  </si>
  <si>
    <t xml:space="preserve">1-30</t>
  </si>
  <si>
    <t xml:space="preserve">1-31</t>
  </si>
  <si>
    <t xml:space="preserve">1-32</t>
  </si>
  <si>
    <t xml:space="preserve">1-33</t>
  </si>
  <si>
    <t xml:space="preserve">1-34</t>
  </si>
  <si>
    <t xml:space="preserve">1-35</t>
  </si>
  <si>
    <t xml:space="preserve">1-36</t>
  </si>
  <si>
    <t xml:space="preserve">1-37</t>
  </si>
  <si>
    <t xml:space="preserve">1-38</t>
  </si>
  <si>
    <t xml:space="preserve">1-39</t>
  </si>
  <si>
    <t xml:space="preserve">1-40</t>
  </si>
  <si>
    <t xml:space="preserve">1-41</t>
  </si>
  <si>
    <t xml:space="preserve">1-42</t>
  </si>
  <si>
    <t xml:space="preserve">1-43</t>
  </si>
  <si>
    <t xml:space="preserve">1-44</t>
  </si>
  <si>
    <t xml:space="preserve">1-45</t>
  </si>
  <si>
    <t xml:space="preserve">1-46</t>
  </si>
  <si>
    <t xml:space="preserve">1-47</t>
  </si>
  <si>
    <t xml:space="preserve">1-48</t>
  </si>
  <si>
    <t xml:space="preserve">1-49</t>
  </si>
  <si>
    <t xml:space="preserve">1-50</t>
  </si>
  <si>
    <t xml:space="preserve">1-51</t>
  </si>
  <si>
    <t xml:space="preserve">1-52</t>
  </si>
  <si>
    <t xml:space="preserve">1-53</t>
  </si>
  <si>
    <t xml:space="preserve">1-54</t>
  </si>
  <si>
    <t xml:space="preserve">1-55</t>
  </si>
  <si>
    <t xml:space="preserve">1-56</t>
  </si>
  <si>
    <t xml:space="preserve">1-57</t>
  </si>
  <si>
    <t xml:space="preserve">1-58</t>
  </si>
  <si>
    <t xml:space="preserve">1-59</t>
  </si>
  <si>
    <t xml:space="preserve">1-60</t>
  </si>
  <si>
    <t xml:space="preserve">1-61</t>
  </si>
  <si>
    <t xml:space="preserve">1-62</t>
  </si>
  <si>
    <t xml:space="preserve">1-63</t>
  </si>
  <si>
    <t xml:space="preserve">1-64</t>
  </si>
  <si>
    <t xml:space="preserve">1-65</t>
  </si>
  <si>
    <t xml:space="preserve">1-66</t>
  </si>
  <si>
    <t xml:space="preserve">1-70</t>
  </si>
  <si>
    <t xml:space="preserve">0% ид. части — провери участието</t>
  </si>
  <si>
    <t xml:space="preserve">1-71</t>
  </si>
  <si>
    <t xml:space="preserve">2-1</t>
  </si>
  <si>
    <t xml:space="preserve">2-2</t>
  </si>
  <si>
    <t xml:space="preserve">2-3</t>
  </si>
  <si>
    <t xml:space="preserve">2-4</t>
  </si>
  <si>
    <t xml:space="preserve">2-5</t>
  </si>
  <si>
    <t xml:space="preserve">2-6</t>
  </si>
  <si>
    <t xml:space="preserve">2-7</t>
  </si>
  <si>
    <t xml:space="preserve">2-8</t>
  </si>
  <si>
    <t xml:space="preserve">2-9</t>
  </si>
  <si>
    <t xml:space="preserve">2-10</t>
  </si>
  <si>
    <t xml:space="preserve">2-11</t>
  </si>
  <si>
    <t xml:space="preserve">2-12</t>
  </si>
  <si>
    <t xml:space="preserve">2-13</t>
  </si>
  <si>
    <t xml:space="preserve">2-14</t>
  </si>
  <si>
    <t xml:space="preserve">2-15</t>
  </si>
  <si>
    <t xml:space="preserve">2-16</t>
  </si>
  <si>
    <t xml:space="preserve">2-17</t>
  </si>
  <si>
    <t xml:space="preserve">2-18</t>
  </si>
  <si>
    <t xml:space="preserve">2-19</t>
  </si>
  <si>
    <t xml:space="preserve">2-20</t>
  </si>
  <si>
    <t xml:space="preserve">2-21</t>
  </si>
  <si>
    <t xml:space="preserve">2-22</t>
  </si>
  <si>
    <t xml:space="preserve">2-23-1</t>
  </si>
  <si>
    <t xml:space="preserve">2-23-2</t>
  </si>
  <si>
    <t xml:space="preserve">2-24</t>
  </si>
  <si>
    <t xml:space="preserve">2-25</t>
  </si>
  <si>
    <t xml:space="preserve">2-26</t>
  </si>
  <si>
    <t xml:space="preserve">2-27</t>
  </si>
  <si>
    <t xml:space="preserve">2-28</t>
  </si>
  <si>
    <t xml:space="preserve">2-29</t>
  </si>
  <si>
    <t xml:space="preserve">2-30</t>
  </si>
  <si>
    <t xml:space="preserve">2-31</t>
  </si>
  <si>
    <t xml:space="preserve">2-32</t>
  </si>
  <si>
    <t xml:space="preserve">2-33</t>
  </si>
  <si>
    <t xml:space="preserve">2-34</t>
  </si>
  <si>
    <t xml:space="preserve">2-35</t>
  </si>
  <si>
    <t xml:space="preserve">2-36</t>
  </si>
  <si>
    <t xml:space="preserve">2-37</t>
  </si>
  <si>
    <t xml:space="preserve">2-38</t>
  </si>
  <si>
    <t xml:space="preserve">2-39</t>
  </si>
  <si>
    <t xml:space="preserve">2-40</t>
  </si>
  <si>
    <t xml:space="preserve">2-41</t>
  </si>
  <si>
    <t xml:space="preserve">2-42</t>
  </si>
  <si>
    <t xml:space="preserve">2-43</t>
  </si>
  <si>
    <t xml:space="preserve">2-44</t>
  </si>
  <si>
    <t xml:space="preserve">2-45</t>
  </si>
  <si>
    <t xml:space="preserve">2-46</t>
  </si>
  <si>
    <t xml:space="preserve">2-47</t>
  </si>
  <si>
    <t xml:space="preserve">2-48</t>
  </si>
  <si>
    <t xml:space="preserve">2-49</t>
  </si>
  <si>
    <t xml:space="preserve">2-50</t>
  </si>
  <si>
    <t xml:space="preserve">2-51</t>
  </si>
  <si>
    <t xml:space="preserve">2-52</t>
  </si>
  <si>
    <t xml:space="preserve">2-53</t>
  </si>
  <si>
    <t xml:space="preserve">2-54</t>
  </si>
  <si>
    <t xml:space="preserve">2-55</t>
  </si>
  <si>
    <t xml:space="preserve">2-56</t>
  </si>
  <si>
    <t xml:space="preserve">2-57</t>
  </si>
  <si>
    <t xml:space="preserve">2-58</t>
  </si>
  <si>
    <t xml:space="preserve">2-59</t>
  </si>
  <si>
    <t xml:space="preserve">2-60</t>
  </si>
  <si>
    <t xml:space="preserve">2-61</t>
  </si>
  <si>
    <t xml:space="preserve">2-62</t>
  </si>
  <si>
    <t xml:space="preserve">2-63</t>
  </si>
  <si>
    <t xml:space="preserve">2-64-1</t>
  </si>
  <si>
    <t xml:space="preserve">2-64-2</t>
  </si>
  <si>
    <t xml:space="preserve">2-65</t>
  </si>
  <si>
    <t xml:space="preserve">2-66</t>
  </si>
  <si>
    <t xml:space="preserve">2-67</t>
  </si>
  <si>
    <t xml:space="preserve">3-1</t>
  </si>
  <si>
    <t xml:space="preserve">3-2</t>
  </si>
  <si>
    <t xml:space="preserve">3-3</t>
  </si>
  <si>
    <t xml:space="preserve">3-4</t>
  </si>
  <si>
    <t xml:space="preserve">3-5</t>
  </si>
  <si>
    <t xml:space="preserve">3-6</t>
  </si>
  <si>
    <t xml:space="preserve">3-7</t>
  </si>
  <si>
    <t xml:space="preserve">3-8</t>
  </si>
  <si>
    <t xml:space="preserve">3-9</t>
  </si>
  <si>
    <t xml:space="preserve">3-10</t>
  </si>
  <si>
    <t xml:space="preserve">3-11</t>
  </si>
  <si>
    <t xml:space="preserve">3-12</t>
  </si>
  <si>
    <t xml:space="preserve">3-13</t>
  </si>
  <si>
    <t xml:space="preserve">3-14</t>
  </si>
  <si>
    <t xml:space="preserve">3-15</t>
  </si>
  <si>
    <t xml:space="preserve">3-16</t>
  </si>
  <si>
    <t xml:space="preserve">3-17</t>
  </si>
  <si>
    <t xml:space="preserve">3-18</t>
  </si>
  <si>
    <t xml:space="preserve">3-19</t>
  </si>
  <si>
    <t xml:space="preserve">3-20</t>
  </si>
  <si>
    <t xml:space="preserve">3-21-1</t>
  </si>
  <si>
    <t xml:space="preserve">3-21-2</t>
  </si>
  <si>
    <t xml:space="preserve">3-22</t>
  </si>
  <si>
    <t xml:space="preserve">3-23</t>
  </si>
  <si>
    <t xml:space="preserve">3-24</t>
  </si>
  <si>
    <t xml:space="preserve">3-25</t>
  </si>
  <si>
    <t xml:space="preserve">3-26</t>
  </si>
  <si>
    <t xml:space="preserve">3-27</t>
  </si>
  <si>
    <t xml:space="preserve">3-28-1</t>
  </si>
  <si>
    <t xml:space="preserve">3-28-2</t>
  </si>
  <si>
    <t xml:space="preserve">3-29</t>
  </si>
  <si>
    <t xml:space="preserve">3-30</t>
  </si>
  <si>
    <t xml:space="preserve">3-31</t>
  </si>
  <si>
    <t xml:space="preserve">3-32</t>
  </si>
  <si>
    <t xml:space="preserve">3-33</t>
  </si>
  <si>
    <t xml:space="preserve">3-34</t>
  </si>
  <si>
    <t xml:space="preserve">3-35</t>
  </si>
  <si>
    <t xml:space="preserve">3-36</t>
  </si>
  <si>
    <t xml:space="preserve">3-37</t>
  </si>
  <si>
    <t xml:space="preserve">3-38</t>
  </si>
  <si>
    <t xml:space="preserve">3-39</t>
  </si>
  <si>
    <t xml:space="preserve">3-40</t>
  </si>
  <si>
    <t xml:space="preserve">3-41</t>
  </si>
  <si>
    <t xml:space="preserve">3-42</t>
  </si>
  <si>
    <t xml:space="preserve">3-43</t>
  </si>
  <si>
    <t xml:space="preserve">3-44</t>
  </si>
  <si>
    <t xml:space="preserve">3-45</t>
  </si>
  <si>
    <t xml:space="preserve">3-46</t>
  </si>
  <si>
    <t xml:space="preserve">3-47</t>
  </si>
  <si>
    <t xml:space="preserve">3-48</t>
  </si>
  <si>
    <t xml:space="preserve">3-49</t>
  </si>
  <si>
    <t xml:space="preserve">3-50</t>
  </si>
  <si>
    <t xml:space="preserve">3-51-1</t>
  </si>
  <si>
    <t xml:space="preserve">3-51-2</t>
  </si>
  <si>
    <t xml:space="preserve">3-52</t>
  </si>
  <si>
    <t xml:space="preserve">3-53</t>
  </si>
  <si>
    <t xml:space="preserve">3-54</t>
  </si>
  <si>
    <t xml:space="preserve">3-55</t>
  </si>
  <si>
    <t xml:space="preserve">3-56</t>
  </si>
  <si>
    <t xml:space="preserve">3-57</t>
  </si>
  <si>
    <t xml:space="preserve">3-58</t>
  </si>
  <si>
    <t xml:space="preserve">3-59</t>
  </si>
  <si>
    <t xml:space="preserve">3-60</t>
  </si>
  <si>
    <t xml:space="preserve">3-61</t>
  </si>
  <si>
    <t xml:space="preserve">3-62</t>
  </si>
  <si>
    <t xml:space="preserve">3-63</t>
  </si>
  <si>
    <t xml:space="preserve">3-65</t>
  </si>
  <si>
    <t xml:space="preserve">3-66</t>
  </si>
  <si>
    <t xml:space="preserve">3-67-1</t>
  </si>
  <si>
    <t xml:space="preserve">3-67-2</t>
  </si>
  <si>
    <t xml:space="preserve">3-68</t>
  </si>
  <si>
    <t xml:space="preserve">3-69</t>
  </si>
  <si>
    <t xml:space="preserve">4-1</t>
  </si>
  <si>
    <t xml:space="preserve">4-2</t>
  </si>
  <si>
    <t xml:space="preserve">4-5</t>
  </si>
  <si>
    <t xml:space="preserve">4-6</t>
  </si>
  <si>
    <t xml:space="preserve">4-7</t>
  </si>
  <si>
    <t xml:space="preserve">4-8-2 ГЕОМАРК</t>
  </si>
  <si>
    <t xml:space="preserve">4-8-1 МИКС</t>
  </si>
  <si>
    <t xml:space="preserve">4-9</t>
  </si>
  <si>
    <t xml:space="preserve">4-10</t>
  </si>
  <si>
    <t xml:space="preserve">4-11</t>
  </si>
  <si>
    <t xml:space="preserve">4-12-1</t>
  </si>
  <si>
    <t xml:space="preserve">4-12-2</t>
  </si>
  <si>
    <t xml:space="preserve">4-12-3</t>
  </si>
  <si>
    <t xml:space="preserve">4-14</t>
  </si>
  <si>
    <t xml:space="preserve">4-15</t>
  </si>
  <si>
    <t xml:space="preserve">4-16-1</t>
  </si>
  <si>
    <t xml:space="preserve">4-16-2</t>
  </si>
  <si>
    <t xml:space="preserve">4-17</t>
  </si>
  <si>
    <t xml:space="preserve">4-18</t>
  </si>
  <si>
    <t xml:space="preserve">4-19</t>
  </si>
  <si>
    <t xml:space="preserve">4-20</t>
  </si>
  <si>
    <t xml:space="preserve">Тераса към 4-20</t>
  </si>
  <si>
    <t xml:space="preserve">тераса</t>
  </si>
  <si>
    <t xml:space="preserve">4-21</t>
  </si>
  <si>
    <t xml:space="preserve">Тераса към 4-21</t>
  </si>
  <si>
    <t xml:space="preserve">4-22</t>
  </si>
  <si>
    <t xml:space="preserve">Тераса към 4-22</t>
  </si>
  <si>
    <t xml:space="preserve">4-23-1</t>
  </si>
  <si>
    <t xml:space="preserve">4-23-2</t>
  </si>
  <si>
    <t xml:space="preserve">Тераса към 4-23</t>
  </si>
  <si>
    <t xml:space="preserve">4-24</t>
  </si>
  <si>
    <t xml:space="preserve">Тераса към 4-24</t>
  </si>
  <si>
    <t xml:space="preserve">4-25</t>
  </si>
  <si>
    <t xml:space="preserve">Тераса към 4-25</t>
  </si>
  <si>
    <t xml:space="preserve">4-26</t>
  </si>
  <si>
    <t xml:space="preserve">4-27</t>
  </si>
  <si>
    <t xml:space="preserve">Тераса към 4-27</t>
  </si>
  <si>
    <t xml:space="preserve">4-28</t>
  </si>
  <si>
    <t xml:space="preserve">Тераса към 4-28</t>
  </si>
  <si>
    <t xml:space="preserve">Обща тераса</t>
  </si>
  <si>
    <t xml:space="preserve">ТАЦ „Гранд“ — гр. Пловдив, ул. „Капитан Райчо“ № 56</t>
  </si>
  <si>
    <t xml:space="preserve">Месечна бележка за разходите за управление и поддръжка на общите части</t>
  </si>
  <si>
    <t xml:space="preserve">Отчетен месец:</t>
  </si>
  <si>
    <t xml:space="preserve">Обект (избери от списъка):</t>
  </si>
  <si>
    <t xml:space="preserve">Идеална част %:</t>
  </si>
  <si>
    <t xml:space="preserve">1. Равен дял от постоянните разходи</t>
  </si>
  <si>
    <t xml:space="preserve">2. Равен дял от водата за общите части</t>
  </si>
  <si>
    <t xml:space="preserve">3. Дял от електроенергията за общите части</t>
  </si>
  <si>
    <t xml:space="preserve">4. Дял от електроенергията за чилърите</t>
  </si>
  <si>
    <t xml:space="preserve">ОБЩО ЗА ПЛАЩАНЕ</t>
  </si>
  <si>
    <t xml:space="preserve">Общи суми за месеца (чл. 11):</t>
  </si>
  <si>
    <t xml:space="preserve">Постоянни разходи</t>
  </si>
  <si>
    <t xml:space="preserve">Вода общи части</t>
  </si>
  <si>
    <t xml:space="preserve">Ток общи части</t>
  </si>
  <si>
    <t xml:space="preserve">Ток чилъри</t>
  </si>
  <si>
    <t xml:space="preserve">Приходи от общите части</t>
  </si>
  <si>
    <t xml:space="preserve">  от тях приспаднати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</si>
</sst>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&quot; €&quot;;\-#,##0.00&quot; €&quot;;\-"/>
    <numFmt numFmtId="166" formatCode="0%"/>
    <numFmt numFmtId="167" formatCode="0.###"/>
    <numFmt numFmtId="168" formatCode="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  <font>
      <b val="true"/>
      <sz val="13"/>
      <name val="Arial"/>
      <family val="0"/>
      <charset val="1"/>
    </font>
    <font>
      <sz val="11"/>
      <color rgb="FFC00000"/>
      <name val="Arial"/>
      <family val="0"/>
      <charset val="1"/>
    </font>
    <font>
      <sz val="11"/>
      <color theme="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CE4D6"/>
      </patternFill>
    </fill>
    <fill>
      <patternFill patternType="solid">
        <fgColor rgb="FFDDE4EE"/>
        <bgColor rgb="FFFCE4D6"/>
      </patternFill>
    </fill>
    <fill>
      <patternFill patternType="solid">
        <fgColor rgb="FFFCE4D6"/>
        <bgColor rgb="FFDDE4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DDE4E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70"/>
    <col collapsed="false" customWidth="true" hidden="false" outlineLevel="0" max="4" min="4" style="0" width="22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  <c r="C5" s="6" t="s">
        <v>5</v>
      </c>
    </row>
    <row r="7" customFormat="false" ht="15" hidden="false" customHeight="false" outlineLevel="0" collapsed="false">
      <c r="A7" s="4" t="s">
        <v>6</v>
      </c>
      <c r="B7" s="7" t="n">
        <v>25000</v>
      </c>
      <c r="C7" s="6" t="s">
        <v>7</v>
      </c>
    </row>
    <row r="8" customFormat="false" ht="15" hidden="false" customHeight="false" outlineLevel="0" collapsed="false">
      <c r="A8" s="4" t="s">
        <v>8</v>
      </c>
      <c r="B8" s="7" t="n">
        <v>800</v>
      </c>
      <c r="C8" s="6" t="s">
        <v>9</v>
      </c>
    </row>
    <row r="9" customFormat="false" ht="15" hidden="false" customHeight="false" outlineLevel="0" collapsed="false">
      <c r="A9" s="4" t="s">
        <v>10</v>
      </c>
      <c r="B9" s="7" t="n">
        <v>6000</v>
      </c>
      <c r="C9" s="6" t="s">
        <v>11</v>
      </c>
    </row>
    <row r="10" customFormat="false" ht="15" hidden="false" customHeight="false" outlineLevel="0" collapsed="false">
      <c r="A10" s="4" t="s">
        <v>12</v>
      </c>
      <c r="B10" s="7" t="n">
        <v>9000</v>
      </c>
      <c r="C10" s="6" t="s">
        <v>13</v>
      </c>
    </row>
    <row r="12" customFormat="false" ht="15" hidden="false" customHeight="false" outlineLevel="0" collapsed="false">
      <c r="A12" s="4" t="s">
        <v>14</v>
      </c>
      <c r="B12" s="7" t="n">
        <v>3000</v>
      </c>
      <c r="C12" s="6" t="s">
        <v>15</v>
      </c>
    </row>
    <row r="13" customFormat="false" ht="15" hidden="false" customHeight="false" outlineLevel="0" collapsed="false">
      <c r="A13" s="4" t="s">
        <v>16</v>
      </c>
      <c r="B13" s="8" t="n">
        <v>1</v>
      </c>
      <c r="C13" s="6" t="s">
        <v>17</v>
      </c>
    </row>
    <row r="15" customFormat="false" ht="15" hidden="false" customHeight="false" outlineLevel="0" collapsed="false">
      <c r="A15" s="9" t="s">
        <v>18</v>
      </c>
    </row>
    <row r="16" customFormat="false" ht="15" hidden="false" customHeight="false" outlineLevel="0" collapsed="false">
      <c r="A16" s="4" t="s">
        <v>19</v>
      </c>
      <c r="B16" s="10" t="n">
        <f aca="false">B12*B13</f>
        <v>3000</v>
      </c>
    </row>
    <row r="17" customFormat="false" ht="15" hidden="false" customHeight="false" outlineLevel="0" collapsed="false">
      <c r="A17" s="4" t="s">
        <v>20</v>
      </c>
      <c r="B17" s="10" t="n">
        <f aca="false">B7-B16</f>
        <v>22000</v>
      </c>
      <c r="C17" s="6" t="s">
        <v>21</v>
      </c>
    </row>
    <row r="19" customFormat="false" ht="15" hidden="false" customHeight="false" outlineLevel="0" collapsed="false">
      <c r="A19" s="9" t="s">
        <v>22</v>
      </c>
    </row>
    <row r="20" customFormat="false" ht="15" hidden="false" customHeight="false" outlineLevel="0" collapsed="false">
      <c r="A20" s="11" t="s">
        <v>23</v>
      </c>
      <c r="B20" s="11" t="s">
        <v>24</v>
      </c>
      <c r="C20" s="11" t="s">
        <v>25</v>
      </c>
      <c r="D20" s="11" t="s">
        <v>26</v>
      </c>
      <c r="E20" s="11" t="s">
        <v>27</v>
      </c>
    </row>
    <row r="21" customFormat="false" ht="15" hidden="false" customHeight="false" outlineLevel="0" collapsed="false">
      <c r="A21" s="12" t="s">
        <v>28</v>
      </c>
      <c r="B21" s="13" t="n">
        <f aca="false">B17</f>
        <v>22000</v>
      </c>
      <c r="C21" s="14" t="n">
        <f aca="false">SUM(Обекти!H5:H261)</f>
        <v>248</v>
      </c>
      <c r="D21" s="13" t="n">
        <f aca="false">SUM(Обекти!L5:L261)</f>
        <v>22000</v>
      </c>
      <c r="E21" s="12" t="str">
        <f aca="false">IF(ABS(B21-D21)&lt;0.01,"OK","ГРЕШКА")</f>
        <v>OK</v>
      </c>
    </row>
    <row r="22" customFormat="false" ht="15" hidden="false" customHeight="false" outlineLevel="0" collapsed="false">
      <c r="A22" s="12" t="s">
        <v>29</v>
      </c>
      <c r="B22" s="13" t="n">
        <f aca="false">B8</f>
        <v>800</v>
      </c>
      <c r="C22" s="14" t="n">
        <f aca="false">SUM(Обекти!I5:I261)</f>
        <v>246</v>
      </c>
      <c r="D22" s="13" t="n">
        <f aca="false">SUM(Обекти!M5:M261)</f>
        <v>800</v>
      </c>
      <c r="E22" s="12" t="str">
        <f aca="false">IF(ABS(B22-D22)&lt;0.01,"OK","ГРЕШКА")</f>
        <v>OK</v>
      </c>
    </row>
    <row r="23" customFormat="false" ht="15" hidden="false" customHeight="false" outlineLevel="0" collapsed="false">
      <c r="A23" s="12" t="s">
        <v>30</v>
      </c>
      <c r="B23" s="13" t="n">
        <f aca="false">B9</f>
        <v>6000</v>
      </c>
      <c r="C23" s="14" t="n">
        <f aca="false">SUMPRODUCT(Обекти!C5:C261,Обекти!J5:J261)</f>
        <v>89.529</v>
      </c>
      <c r="D23" s="13" t="n">
        <f aca="false">SUM(Обекти!N5:N261)</f>
        <v>6000</v>
      </c>
      <c r="E23" s="12" t="str">
        <f aca="false">IF(ABS(B23-D23)&lt;0.01,"OK","ГРЕШКА")</f>
        <v>OK</v>
      </c>
    </row>
    <row r="24" customFormat="false" ht="15" hidden="false" customHeight="false" outlineLevel="0" collapsed="false">
      <c r="A24" s="12" t="s">
        <v>31</v>
      </c>
      <c r="B24" s="13" t="n">
        <f aca="false">B10</f>
        <v>9000</v>
      </c>
      <c r="C24" s="14" t="n">
        <f aca="false">SUMPRODUCT(Обекти!C5:C261,Обекти!K5:K261)</f>
        <v>39.512</v>
      </c>
      <c r="D24" s="13" t="n">
        <f aca="false">SUM(Обекти!O5:O261)</f>
        <v>9000</v>
      </c>
      <c r="E24" s="12" t="str">
        <f aca="false">IF(ABS(B24-D24)&lt;0.01,"OK","ГРЕШКА")</f>
        <v>OK</v>
      </c>
    </row>
    <row r="25" customFormat="false" ht="15" hidden="false" customHeight="false" outlineLevel="0" collapsed="false">
      <c r="A25" s="15" t="s">
        <v>32</v>
      </c>
      <c r="B25" s="16" t="n">
        <f aca="false">SUM(B21:B24)</f>
        <v>37800</v>
      </c>
      <c r="C25" s="17"/>
      <c r="D25" s="16" t="n">
        <f aca="false">SUM(Обекти!P5:P261)</f>
        <v>37800</v>
      </c>
      <c r="E25" s="15" t="str">
        <f aca="false">IF(ABS(B25-D25)&lt;0.01,"OK","ГРЕШКА")</f>
        <v>OK</v>
      </c>
    </row>
    <row r="26" customFormat="false" ht="15" hidden="false" customHeight="false" outlineLevel="0" collapsed="false">
      <c r="A26" s="6" t="s">
        <v>33</v>
      </c>
    </row>
    <row r="28" customFormat="false" ht="15" hidden="false" customHeight="false" outlineLevel="0" collapsed="false">
      <c r="A28" s="9" t="s">
        <v>34</v>
      </c>
    </row>
    <row r="29" customFormat="false" ht="15" hidden="false" customHeight="false" outlineLevel="0" collapsed="false">
      <c r="A29" s="4" t="s">
        <v>35</v>
      </c>
    </row>
    <row r="30" customFormat="false" ht="15" hidden="false" customHeight="false" outlineLevel="0" collapsed="false">
      <c r="A30" s="4" t="s">
        <v>36</v>
      </c>
    </row>
    <row r="31" customFormat="false" ht="15" hidden="false" customHeight="false" outlineLevel="0" collapsed="false">
      <c r="A31" s="4" t="s">
        <v>37</v>
      </c>
    </row>
    <row r="32" customFormat="false" ht="15" hidden="false" customHeight="false" outlineLevel="0" collapsed="false">
      <c r="A32" s="4" t="s">
        <v>38</v>
      </c>
    </row>
    <row r="33" customFormat="false" ht="15" hidden="false" customHeight="false" outlineLevel="0" collapsed="false">
      <c r="A33" s="4" t="s">
        <v>39</v>
      </c>
    </row>
    <row r="34" customFormat="false" ht="15" hidden="false" customHeight="false" outlineLevel="0" collapsed="false">
      <c r="A34" s="4" t="s">
        <v>40</v>
      </c>
    </row>
    <row r="35" customFormat="false" ht="15" hidden="false" customHeight="false" outlineLevel="0" collapsed="false">
      <c r="A35" s="4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7"/>
    <col collapsed="false" customWidth="true" hidden="false" outlineLevel="0" max="6" min="6" style="0" width="30"/>
    <col collapsed="false" customWidth="true" hidden="false" outlineLevel="0" max="7" min="7" style="0" width="2"/>
    <col collapsed="false" customWidth="true" hidden="false" outlineLevel="0" max="11" min="8" style="0" width="11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5" min="14" style="0" width="13"/>
    <col collapsed="false" customWidth="true" hidden="false" outlineLevel="0" max="16" min="16" style="0" width="14"/>
  </cols>
  <sheetData>
    <row r="1" customFormat="false" ht="16.15" hidden="false" customHeight="false" outlineLevel="0" collapsed="false">
      <c r="A1" s="18" t="s">
        <v>42</v>
      </c>
    </row>
    <row r="2" customFormat="false" ht="15" hidden="false" customHeight="false" outlineLevel="0" collapsed="false">
      <c r="A2" s="2" t="s">
        <v>43</v>
      </c>
    </row>
    <row r="4" customFormat="false" ht="45" hidden="false" customHeight="true" outlineLevel="0" collapsed="false">
      <c r="A4" s="19" t="s">
        <v>44</v>
      </c>
      <c r="B4" s="19" t="s">
        <v>45</v>
      </c>
      <c r="C4" s="19" t="s">
        <v>46</v>
      </c>
      <c r="D4" s="19" t="s">
        <v>47</v>
      </c>
      <c r="E4" s="19" t="s">
        <v>48</v>
      </c>
      <c r="F4" s="19" t="s">
        <v>49</v>
      </c>
      <c r="H4" s="19" t="s">
        <v>50</v>
      </c>
      <c r="I4" s="19" t="s">
        <v>51</v>
      </c>
      <c r="J4" s="19" t="s">
        <v>52</v>
      </c>
      <c r="K4" s="19" t="s">
        <v>53</v>
      </c>
      <c r="L4" s="19" t="s">
        <v>54</v>
      </c>
      <c r="M4" s="19" t="s">
        <v>55</v>
      </c>
      <c r="N4" s="19" t="s">
        <v>56</v>
      </c>
      <c r="O4" s="19" t="s">
        <v>57</v>
      </c>
      <c r="P4" s="19" t="s">
        <v>58</v>
      </c>
    </row>
    <row r="5" customFormat="false" ht="15" hidden="false" customHeight="false" outlineLevel="0" collapsed="false">
      <c r="A5" s="12" t="n">
        <v>1</v>
      </c>
      <c r="B5" s="12" t="s">
        <v>59</v>
      </c>
      <c r="C5" s="20" t="n">
        <v>19.588</v>
      </c>
      <c r="D5" s="12" t="s">
        <v>60</v>
      </c>
      <c r="E5" s="12" t="n">
        <v>-1</v>
      </c>
      <c r="F5" s="12"/>
      <c r="H5" s="21" t="n">
        <v>1</v>
      </c>
      <c r="I5" s="21" t="n">
        <v>0</v>
      </c>
      <c r="J5" s="21" t="n">
        <v>1</v>
      </c>
      <c r="K5" s="21" t="n">
        <v>0</v>
      </c>
      <c r="L5" s="13" t="n">
        <f aca="false">IF(H5=1,Въвеждане!$B$17/SUM($H$5:$H$261),0)</f>
        <v>88.7096774193548</v>
      </c>
      <c r="M5" s="13" t="n">
        <f aca="false">IF(I5=1,Въвеждане!$B$8/SUM($I$5:$I$261),0)</f>
        <v>0</v>
      </c>
      <c r="N5" s="13" t="n">
        <f aca="false">IF(J5=1,Въвеждане!$B$9*C5/SUMPRODUCT($C$5:$C$261,$J$5:$J$261),0)</f>
        <v>1312.73665516201</v>
      </c>
      <c r="O5" s="13" t="n">
        <f aca="false">IF(K5=1,Въвеждане!$B$10*C5/SUMPRODUCT($C$5:$C$261,$K$5:$K$261),0)</f>
        <v>0</v>
      </c>
      <c r="P5" s="16" t="n">
        <f aca="false">SUM(L5:O5)</f>
        <v>1401.44633258137</v>
      </c>
    </row>
    <row r="6" customFormat="false" ht="15" hidden="false" customHeight="false" outlineLevel="0" collapsed="false">
      <c r="A6" s="12" t="n">
        <v>2</v>
      </c>
      <c r="B6" s="12" t="s">
        <v>61</v>
      </c>
      <c r="C6" s="20" t="n">
        <v>1.303</v>
      </c>
      <c r="D6" s="12" t="s">
        <v>62</v>
      </c>
      <c r="E6" s="12" t="s">
        <v>63</v>
      </c>
      <c r="F6" s="22" t="s">
        <v>64</v>
      </c>
      <c r="H6" s="21" t="n">
        <v>1</v>
      </c>
      <c r="I6" s="21" t="n">
        <v>1</v>
      </c>
      <c r="J6" s="21" t="n">
        <v>1</v>
      </c>
      <c r="K6" s="21" t="n">
        <v>0</v>
      </c>
      <c r="L6" s="13" t="n">
        <f aca="false">IF(H6=1,Въвеждане!$B$17/SUM($H$5:$H$261),0)</f>
        <v>88.7096774193548</v>
      </c>
      <c r="M6" s="13" t="n">
        <f aca="false">IF(I6=1,Въвеждане!$B$8/SUM($I$5:$I$261),0)</f>
        <v>3.2520325203252</v>
      </c>
      <c r="N6" s="13" t="n">
        <f aca="false">IF(J6=1,Въвеждане!$B$9*C6/SUMPRODUCT($C$5:$C$261,$J$5:$J$261),0)</f>
        <v>87.3236604898971</v>
      </c>
      <c r="O6" s="13" t="n">
        <f aca="false">IF(K6=1,Въвеждане!$B$10*C6/SUMPRODUCT($C$5:$C$261,$K$5:$K$261),0)</f>
        <v>0</v>
      </c>
      <c r="P6" s="16" t="n">
        <f aca="false">SUM(L6:O6)</f>
        <v>179.285370429577</v>
      </c>
    </row>
    <row r="7" customFormat="false" ht="15" hidden="false" customHeight="false" outlineLevel="0" collapsed="false">
      <c r="A7" s="12" t="n">
        <v>3</v>
      </c>
      <c r="B7" s="12" t="s">
        <v>65</v>
      </c>
      <c r="C7" s="20" t="n">
        <v>19.628</v>
      </c>
      <c r="D7" s="12" t="s">
        <v>66</v>
      </c>
      <c r="E7" s="12" t="s">
        <v>63</v>
      </c>
      <c r="F7" s="22" t="s">
        <v>67</v>
      </c>
      <c r="H7" s="21" t="n">
        <v>1</v>
      </c>
      <c r="I7" s="21" t="n">
        <v>0</v>
      </c>
      <c r="J7" s="21" t="n">
        <v>1</v>
      </c>
      <c r="K7" s="21" t="n">
        <v>0</v>
      </c>
      <c r="L7" s="13" t="n">
        <f aca="false">IF(H7=1,Въвеждане!$B$17/SUM($H$5:$H$261),0)</f>
        <v>88.7096774193548</v>
      </c>
      <c r="M7" s="13" t="n">
        <f aca="false">IF(I7=1,Въвеждане!$B$8/SUM($I$5:$I$261),0)</f>
        <v>0</v>
      </c>
      <c r="N7" s="13" t="n">
        <f aca="false">IF(J7=1,Въвеждане!$B$9*C7/SUMPRODUCT($C$5:$C$261,$J$5:$J$261),0)</f>
        <v>1315.41735080253</v>
      </c>
      <c r="O7" s="13" t="n">
        <f aca="false">IF(K7=1,Въвеждане!$B$10*C7/SUMPRODUCT($C$5:$C$261,$K$5:$K$261),0)</f>
        <v>0</v>
      </c>
      <c r="P7" s="16" t="n">
        <f aca="false">SUM(L7:O7)</f>
        <v>1404.12702822189</v>
      </c>
    </row>
    <row r="8" customFormat="false" ht="15" hidden="false" customHeight="false" outlineLevel="0" collapsed="false">
      <c r="A8" s="12" t="n">
        <v>4</v>
      </c>
      <c r="B8" s="12" t="s">
        <v>68</v>
      </c>
      <c r="C8" s="20" t="n">
        <v>0.498</v>
      </c>
      <c r="D8" s="12" t="s">
        <v>62</v>
      </c>
      <c r="E8" s="12" t="s">
        <v>63</v>
      </c>
      <c r="F8" s="22" t="s">
        <v>64</v>
      </c>
      <c r="H8" s="21" t="n">
        <v>1</v>
      </c>
      <c r="I8" s="21" t="n">
        <v>1</v>
      </c>
      <c r="J8" s="21" t="n">
        <v>1</v>
      </c>
      <c r="K8" s="21" t="n">
        <v>0</v>
      </c>
      <c r="L8" s="13" t="n">
        <f aca="false">IF(H8=1,Въвеждане!$B$17/SUM($H$5:$H$261),0)</f>
        <v>88.7096774193548</v>
      </c>
      <c r="M8" s="13" t="n">
        <f aca="false">IF(I8=1,Въвеждане!$B$8/SUM($I$5:$I$261),0)</f>
        <v>3.2520325203252</v>
      </c>
      <c r="N8" s="13" t="n">
        <f aca="false">IF(J8=1,Въвеждане!$B$9*C8/SUMPRODUCT($C$5:$C$261,$J$5:$J$261),0)</f>
        <v>33.374660724458</v>
      </c>
      <c r="O8" s="13" t="n">
        <f aca="false">IF(K8=1,Въвеждане!$B$10*C8/SUMPRODUCT($C$5:$C$261,$K$5:$K$261),0)</f>
        <v>0</v>
      </c>
      <c r="P8" s="16" t="n">
        <f aca="false">SUM(L8:O8)</f>
        <v>125.336370664138</v>
      </c>
    </row>
    <row r="9" customFormat="false" ht="15" hidden="false" customHeight="false" outlineLevel="0" collapsed="false">
      <c r="A9" s="12" t="n">
        <v>5</v>
      </c>
      <c r="B9" s="12" t="s">
        <v>69</v>
      </c>
      <c r="C9" s="20" t="n">
        <v>0.637</v>
      </c>
      <c r="D9" s="12" t="s">
        <v>62</v>
      </c>
      <c r="E9" s="12" t="n">
        <v>1</v>
      </c>
      <c r="F9" s="12"/>
      <c r="H9" s="21" t="n">
        <v>1</v>
      </c>
      <c r="I9" s="21" t="n">
        <v>1</v>
      </c>
      <c r="J9" s="21" t="n">
        <v>1</v>
      </c>
      <c r="K9" s="21" t="n">
        <v>1</v>
      </c>
      <c r="L9" s="13" t="n">
        <f aca="false">IF(H9=1,Въвеждане!$B$17/SUM($H$5:$H$261),0)</f>
        <v>88.7096774193548</v>
      </c>
      <c r="M9" s="13" t="n">
        <f aca="false">IF(I9=1,Въвеждане!$B$8/SUM($I$5:$I$261),0)</f>
        <v>3.2520325203252</v>
      </c>
      <c r="N9" s="13" t="n">
        <f aca="false">IF(J9=1,Въвеждане!$B$9*C9/SUMPRODUCT($C$5:$C$261,$J$5:$J$261),0)</f>
        <v>42.6900780752605</v>
      </c>
      <c r="O9" s="13" t="n">
        <f aca="false">IF(K9=1,Въвеждане!$B$10*C9/SUMPRODUCT($C$5:$C$261,$K$5:$K$261),0)</f>
        <v>145.095160963758</v>
      </c>
      <c r="P9" s="16" t="n">
        <f aca="false">SUM(L9:O9)</f>
        <v>279.746948978698</v>
      </c>
    </row>
    <row r="10" customFormat="false" ht="15" hidden="false" customHeight="false" outlineLevel="0" collapsed="false">
      <c r="A10" s="12" t="n">
        <v>6</v>
      </c>
      <c r="B10" s="12" t="s">
        <v>70</v>
      </c>
      <c r="C10" s="20" t="n">
        <v>0.239</v>
      </c>
      <c r="D10" s="12" t="s">
        <v>62</v>
      </c>
      <c r="E10" s="12" t="n">
        <v>1</v>
      </c>
      <c r="F10" s="12"/>
      <c r="H10" s="21" t="n">
        <v>1</v>
      </c>
      <c r="I10" s="21" t="n">
        <v>1</v>
      </c>
      <c r="J10" s="21" t="n">
        <v>1</v>
      </c>
      <c r="K10" s="21" t="n">
        <v>1</v>
      </c>
      <c r="L10" s="13" t="n">
        <f aca="false">IF(H10=1,Въвеждане!$B$17/SUM($H$5:$H$261),0)</f>
        <v>88.7096774193548</v>
      </c>
      <c r="M10" s="13" t="n">
        <f aca="false">IF(I10=1,Въвеждане!$B$8/SUM($I$5:$I$261),0)</f>
        <v>3.2520325203252</v>
      </c>
      <c r="N10" s="13" t="n">
        <f aca="false">IF(J10=1,Въвеждане!$B$9*C10/SUMPRODUCT($C$5:$C$261,$J$5:$J$261),0)</f>
        <v>16.0171564520993</v>
      </c>
      <c r="O10" s="13" t="n">
        <f aca="false">IF(K10=1,Въвеждане!$B$10*C10/SUMPRODUCT($C$5:$C$261,$K$5:$K$261),0)</f>
        <v>54.4391577242357</v>
      </c>
      <c r="P10" s="16" t="n">
        <f aca="false">SUM(L10:O10)</f>
        <v>162.418024116015</v>
      </c>
    </row>
    <row r="11" customFormat="false" ht="15" hidden="false" customHeight="false" outlineLevel="0" collapsed="false">
      <c r="A11" s="12" t="n">
        <v>7</v>
      </c>
      <c r="B11" s="12" t="s">
        <v>71</v>
      </c>
      <c r="C11" s="20" t="n">
        <v>0.406</v>
      </c>
      <c r="D11" s="12" t="s">
        <v>62</v>
      </c>
      <c r="E11" s="12" t="n">
        <v>1</v>
      </c>
      <c r="F11" s="12"/>
      <c r="H11" s="21" t="n">
        <v>1</v>
      </c>
      <c r="I11" s="21" t="n">
        <v>1</v>
      </c>
      <c r="J11" s="21" t="n">
        <v>1</v>
      </c>
      <c r="K11" s="21" t="n">
        <v>1</v>
      </c>
      <c r="L11" s="13" t="n">
        <f aca="false">IF(H11=1,Въвеждане!$B$17/SUM($H$5:$H$261),0)</f>
        <v>88.7096774193548</v>
      </c>
      <c r="M11" s="13" t="n">
        <f aca="false">IF(I11=1,Въвеждане!$B$8/SUM($I$5:$I$261),0)</f>
        <v>3.2520325203252</v>
      </c>
      <c r="N11" s="13" t="n">
        <f aca="false">IF(J11=1,Въвеждане!$B$9*C11/SUMPRODUCT($C$5:$C$261,$J$5:$J$261),0)</f>
        <v>27.209060751265</v>
      </c>
      <c r="O11" s="13" t="n">
        <f aca="false">IF(K11=1,Въвеждане!$B$10*C11/SUMPRODUCT($C$5:$C$261,$K$5:$K$261),0)</f>
        <v>92.4782344604171</v>
      </c>
      <c r="P11" s="16" t="n">
        <f aca="false">SUM(L11:O11)</f>
        <v>211.649005151362</v>
      </c>
    </row>
    <row r="12" customFormat="false" ht="15" hidden="false" customHeight="false" outlineLevel="0" collapsed="false">
      <c r="A12" s="12" t="n">
        <v>8</v>
      </c>
      <c r="B12" s="12" t="s">
        <v>72</v>
      </c>
      <c r="C12" s="20" t="n">
        <v>1.827</v>
      </c>
      <c r="D12" s="12" t="s">
        <v>62</v>
      </c>
      <c r="E12" s="12" t="s">
        <v>63</v>
      </c>
      <c r="F12" s="22" t="s">
        <v>64</v>
      </c>
      <c r="H12" s="21" t="n">
        <v>1</v>
      </c>
      <c r="I12" s="21" t="n">
        <v>1</v>
      </c>
      <c r="J12" s="21" t="n">
        <v>1</v>
      </c>
      <c r="K12" s="21" t="n">
        <v>1</v>
      </c>
      <c r="L12" s="13" t="n">
        <f aca="false">IF(H12=1,Въвеждане!$B$17/SUM($H$5:$H$261),0)</f>
        <v>88.7096774193548</v>
      </c>
      <c r="M12" s="13" t="n">
        <f aca="false">IF(I12=1,Въвеждане!$B$8/SUM($I$5:$I$261),0)</f>
        <v>3.2520325203252</v>
      </c>
      <c r="N12" s="13" t="n">
        <f aca="false">IF(J12=1,Въвеждане!$B$9*C12/SUMPRODUCT($C$5:$C$261,$J$5:$J$261),0)</f>
        <v>122.440773380692</v>
      </c>
      <c r="O12" s="13" t="n">
        <f aca="false">IF(K12=1,Въвеждане!$B$10*C12/SUMPRODUCT($C$5:$C$261,$K$5:$K$261),0)</f>
        <v>416.152055071877</v>
      </c>
      <c r="P12" s="16" t="n">
        <f aca="false">SUM(L12:O12)</f>
        <v>630.554538392249</v>
      </c>
    </row>
    <row r="13" customFormat="false" ht="15" hidden="false" customHeight="false" outlineLevel="0" collapsed="false">
      <c r="A13" s="12" t="n">
        <v>9</v>
      </c>
      <c r="B13" s="12" t="s">
        <v>73</v>
      </c>
      <c r="C13" s="20" t="n">
        <v>0.28</v>
      </c>
      <c r="D13" s="12" t="s">
        <v>62</v>
      </c>
      <c r="E13" s="12" t="s">
        <v>63</v>
      </c>
      <c r="F13" s="22" t="s">
        <v>64</v>
      </c>
      <c r="H13" s="21" t="n">
        <v>1</v>
      </c>
      <c r="I13" s="21" t="n">
        <v>1</v>
      </c>
      <c r="J13" s="21" t="n">
        <v>1</v>
      </c>
      <c r="K13" s="21" t="n">
        <v>1</v>
      </c>
      <c r="L13" s="13" t="n">
        <f aca="false">IF(H13=1,Въвеждане!$B$17/SUM($H$5:$H$261),0)</f>
        <v>88.7096774193548</v>
      </c>
      <c r="M13" s="13" t="n">
        <f aca="false">IF(I13=1,Въвеждане!$B$8/SUM($I$5:$I$261),0)</f>
        <v>3.2520325203252</v>
      </c>
      <c r="N13" s="13" t="n">
        <f aca="false">IF(J13=1,Въвеждане!$B$9*C13/SUMPRODUCT($C$5:$C$261,$J$5:$J$261),0)</f>
        <v>18.764869483631</v>
      </c>
      <c r="O13" s="13" t="n">
        <f aca="false">IF(K13=1,Въвеждане!$B$10*C13/SUMPRODUCT($C$5:$C$261,$K$5:$K$261),0)</f>
        <v>63.7780927313221</v>
      </c>
      <c r="P13" s="16" t="n">
        <f aca="false">SUM(L13:O13)</f>
        <v>174.504672154633</v>
      </c>
    </row>
    <row r="14" customFormat="false" ht="15" hidden="false" customHeight="false" outlineLevel="0" collapsed="false">
      <c r="A14" s="12" t="n">
        <v>10</v>
      </c>
      <c r="B14" s="12" t="s">
        <v>74</v>
      </c>
      <c r="C14" s="20" t="n">
        <v>0.081</v>
      </c>
      <c r="D14" s="12" t="s">
        <v>62</v>
      </c>
      <c r="E14" s="12" t="n">
        <v>1</v>
      </c>
      <c r="F14" s="12"/>
      <c r="H14" s="21" t="n">
        <v>1</v>
      </c>
      <c r="I14" s="21" t="n">
        <v>1</v>
      </c>
      <c r="J14" s="21" t="n">
        <v>1</v>
      </c>
      <c r="K14" s="21" t="n">
        <v>1</v>
      </c>
      <c r="L14" s="13" t="n">
        <f aca="false">IF(H14=1,Въвеждане!$B$17/SUM($H$5:$H$261),0)</f>
        <v>88.7096774193548</v>
      </c>
      <c r="M14" s="13" t="n">
        <f aca="false">IF(I14=1,Въвеждане!$B$8/SUM($I$5:$I$261),0)</f>
        <v>3.2520325203252</v>
      </c>
      <c r="N14" s="13" t="n">
        <f aca="false">IF(J14=1,Въвеждане!$B$9*C14/SUMPRODUCT($C$5:$C$261,$J$5:$J$261),0)</f>
        <v>5.4284086720504</v>
      </c>
      <c r="O14" s="13" t="n">
        <f aca="false">IF(K14=1,Въвеждане!$B$10*C14/SUMPRODUCT($C$5:$C$261,$K$5:$K$261),0)</f>
        <v>18.450091111561</v>
      </c>
      <c r="P14" s="16" t="n">
        <f aca="false">SUM(L14:O14)</f>
        <v>115.840209723291</v>
      </c>
    </row>
    <row r="15" customFormat="false" ht="15" hidden="false" customHeight="false" outlineLevel="0" collapsed="false">
      <c r="A15" s="12" t="n">
        <v>11</v>
      </c>
      <c r="B15" s="12" t="s">
        <v>75</v>
      </c>
      <c r="C15" s="20" t="n">
        <v>0.09</v>
      </c>
      <c r="D15" s="12" t="s">
        <v>62</v>
      </c>
      <c r="E15" s="12" t="n">
        <v>1</v>
      </c>
      <c r="F15" s="12"/>
      <c r="H15" s="21" t="n">
        <v>1</v>
      </c>
      <c r="I15" s="21" t="n">
        <v>1</v>
      </c>
      <c r="J15" s="21" t="n">
        <v>1</v>
      </c>
      <c r="K15" s="21" t="n">
        <v>1</v>
      </c>
      <c r="L15" s="13" t="n">
        <f aca="false">IF(H15=1,Въвеждане!$B$17/SUM($H$5:$H$261),0)</f>
        <v>88.7096774193548</v>
      </c>
      <c r="M15" s="13" t="n">
        <f aca="false">IF(I15=1,Въвеждане!$B$8/SUM($I$5:$I$261),0)</f>
        <v>3.2520325203252</v>
      </c>
      <c r="N15" s="13" t="n">
        <f aca="false">IF(J15=1,Въвеждане!$B$9*C15/SUMPRODUCT($C$5:$C$261,$J$5:$J$261),0)</f>
        <v>6.03156519116711</v>
      </c>
      <c r="O15" s="13" t="n">
        <f aca="false">IF(K15=1,Въвеждане!$B$10*C15/SUMPRODUCT($C$5:$C$261,$K$5:$K$261),0)</f>
        <v>20.5001012350678</v>
      </c>
      <c r="P15" s="16" t="n">
        <f aca="false">SUM(L15:O15)</f>
        <v>118.493376365915</v>
      </c>
    </row>
    <row r="16" customFormat="false" ht="15" hidden="false" customHeight="false" outlineLevel="0" collapsed="false">
      <c r="A16" s="12" t="n">
        <v>12</v>
      </c>
      <c r="B16" s="12" t="s">
        <v>76</v>
      </c>
      <c r="C16" s="20" t="n">
        <v>0.155</v>
      </c>
      <c r="D16" s="12" t="s">
        <v>62</v>
      </c>
      <c r="E16" s="12" t="n">
        <v>1</v>
      </c>
      <c r="F16" s="12"/>
      <c r="H16" s="21" t="n">
        <v>1</v>
      </c>
      <c r="I16" s="21" t="n">
        <v>1</v>
      </c>
      <c r="J16" s="21" t="n">
        <v>1</v>
      </c>
      <c r="K16" s="21" t="n">
        <v>1</v>
      </c>
      <c r="L16" s="13" t="n">
        <f aca="false">IF(H16=1,Въвеждане!$B$17/SUM($H$5:$H$261),0)</f>
        <v>88.7096774193548</v>
      </c>
      <c r="M16" s="13" t="n">
        <f aca="false">IF(I16=1,Въвеждане!$B$8/SUM($I$5:$I$261),0)</f>
        <v>3.2520325203252</v>
      </c>
      <c r="N16" s="13" t="n">
        <f aca="false">IF(J16=1,Въвеждане!$B$9*C16/SUMPRODUCT($C$5:$C$261,$J$5:$J$261),0)</f>
        <v>10.38769560701</v>
      </c>
      <c r="O16" s="13" t="n">
        <f aca="false">IF(K16=1,Въвеждане!$B$10*C16/SUMPRODUCT($C$5:$C$261,$K$5:$K$261),0)</f>
        <v>35.305729904839</v>
      </c>
      <c r="P16" s="16" t="n">
        <f aca="false">SUM(L16:O16)</f>
        <v>137.655135451529</v>
      </c>
    </row>
    <row r="17" customFormat="false" ht="15" hidden="false" customHeight="false" outlineLevel="0" collapsed="false">
      <c r="A17" s="12" t="n">
        <v>13</v>
      </c>
      <c r="B17" s="12" t="s">
        <v>77</v>
      </c>
      <c r="C17" s="20" t="n">
        <v>0.167</v>
      </c>
      <c r="D17" s="12" t="s">
        <v>62</v>
      </c>
      <c r="E17" s="12" t="n">
        <v>1</v>
      </c>
      <c r="F17" s="12"/>
      <c r="H17" s="21" t="n">
        <v>1</v>
      </c>
      <c r="I17" s="21" t="n">
        <v>1</v>
      </c>
      <c r="J17" s="21" t="n">
        <v>1</v>
      </c>
      <c r="K17" s="21" t="n">
        <v>1</v>
      </c>
      <c r="L17" s="13" t="n">
        <f aca="false">IF(H17=1,Въвеждане!$B$17/SUM($H$5:$H$261),0)</f>
        <v>88.7096774193548</v>
      </c>
      <c r="M17" s="13" t="n">
        <f aca="false">IF(I17=1,Въвеждане!$B$8/SUM($I$5:$I$261),0)</f>
        <v>3.2520325203252</v>
      </c>
      <c r="N17" s="13" t="n">
        <f aca="false">IF(J17=1,Въвеждане!$B$9*C17/SUMPRODUCT($C$5:$C$261,$J$5:$J$261),0)</f>
        <v>11.1919042991656</v>
      </c>
      <c r="O17" s="13" t="n">
        <f aca="false">IF(K17=1,Въвеждане!$B$10*C17/SUMPRODUCT($C$5:$C$261,$K$5:$K$261),0)</f>
        <v>38.0390767361814</v>
      </c>
      <c r="P17" s="16" t="n">
        <f aca="false">SUM(L17:O17)</f>
        <v>141.192690975027</v>
      </c>
    </row>
    <row r="18" customFormat="false" ht="15" hidden="false" customHeight="false" outlineLevel="0" collapsed="false">
      <c r="A18" s="12" t="n">
        <v>14</v>
      </c>
      <c r="B18" s="12" t="s">
        <v>78</v>
      </c>
      <c r="C18" s="20" t="n">
        <v>0.167</v>
      </c>
      <c r="D18" s="12" t="s">
        <v>62</v>
      </c>
      <c r="E18" s="12" t="n">
        <v>1</v>
      </c>
      <c r="F18" s="12"/>
      <c r="H18" s="21" t="n">
        <v>1</v>
      </c>
      <c r="I18" s="21" t="n">
        <v>1</v>
      </c>
      <c r="J18" s="21" t="n">
        <v>1</v>
      </c>
      <c r="K18" s="21" t="n">
        <v>1</v>
      </c>
      <c r="L18" s="13" t="n">
        <f aca="false">IF(H18=1,Въвеждане!$B$17/SUM($H$5:$H$261),0)</f>
        <v>88.7096774193548</v>
      </c>
      <c r="M18" s="13" t="n">
        <f aca="false">IF(I18=1,Въвеждане!$B$8/SUM($I$5:$I$261),0)</f>
        <v>3.2520325203252</v>
      </c>
      <c r="N18" s="13" t="n">
        <f aca="false">IF(J18=1,Въвеждане!$B$9*C18/SUMPRODUCT($C$5:$C$261,$J$5:$J$261),0)</f>
        <v>11.1919042991656</v>
      </c>
      <c r="O18" s="13" t="n">
        <f aca="false">IF(K18=1,Въвеждане!$B$10*C18/SUMPRODUCT($C$5:$C$261,$K$5:$K$261),0)</f>
        <v>38.0390767361814</v>
      </c>
      <c r="P18" s="16" t="n">
        <f aca="false">SUM(L18:O18)</f>
        <v>141.192690975027</v>
      </c>
    </row>
    <row r="19" customFormat="false" ht="15" hidden="false" customHeight="false" outlineLevel="0" collapsed="false">
      <c r="A19" s="12" t="n">
        <v>15</v>
      </c>
      <c r="B19" s="12" t="s">
        <v>79</v>
      </c>
      <c r="C19" s="20" t="n">
        <v>0.155</v>
      </c>
      <c r="D19" s="12" t="s">
        <v>62</v>
      </c>
      <c r="E19" s="12" t="n">
        <v>1</v>
      </c>
      <c r="F19" s="12"/>
      <c r="H19" s="21" t="n">
        <v>1</v>
      </c>
      <c r="I19" s="21" t="n">
        <v>1</v>
      </c>
      <c r="J19" s="21" t="n">
        <v>1</v>
      </c>
      <c r="K19" s="21" t="n">
        <v>1</v>
      </c>
      <c r="L19" s="13" t="n">
        <f aca="false">IF(H19=1,Въвеждане!$B$17/SUM($H$5:$H$261),0)</f>
        <v>88.7096774193548</v>
      </c>
      <c r="M19" s="13" t="n">
        <f aca="false">IF(I19=1,Въвеждане!$B$8/SUM($I$5:$I$261),0)</f>
        <v>3.2520325203252</v>
      </c>
      <c r="N19" s="13" t="n">
        <f aca="false">IF(J19=1,Въвеждане!$B$9*C19/SUMPRODUCT($C$5:$C$261,$J$5:$J$261),0)</f>
        <v>10.38769560701</v>
      </c>
      <c r="O19" s="13" t="n">
        <f aca="false">IF(K19=1,Въвеждане!$B$10*C19/SUMPRODUCT($C$5:$C$261,$K$5:$K$261),0)</f>
        <v>35.305729904839</v>
      </c>
      <c r="P19" s="16" t="n">
        <f aca="false">SUM(L19:O19)</f>
        <v>137.655135451529</v>
      </c>
    </row>
    <row r="20" customFormat="false" ht="15" hidden="false" customHeight="false" outlineLevel="0" collapsed="false">
      <c r="A20" s="12" t="n">
        <v>16</v>
      </c>
      <c r="B20" s="12" t="s">
        <v>80</v>
      </c>
      <c r="C20" s="20" t="n">
        <v>0.089</v>
      </c>
      <c r="D20" s="12" t="s">
        <v>62</v>
      </c>
      <c r="E20" s="12" t="n">
        <v>1</v>
      </c>
      <c r="F20" s="12"/>
      <c r="H20" s="21" t="n">
        <v>1</v>
      </c>
      <c r="I20" s="21" t="n">
        <v>1</v>
      </c>
      <c r="J20" s="21" t="n">
        <v>1</v>
      </c>
      <c r="K20" s="21" t="n">
        <v>1</v>
      </c>
      <c r="L20" s="13" t="n">
        <f aca="false">IF(H20=1,Въвеждане!$B$17/SUM($H$5:$H$261),0)</f>
        <v>88.7096774193548</v>
      </c>
      <c r="M20" s="13" t="n">
        <f aca="false">IF(I20=1,Въвеждане!$B$8/SUM($I$5:$I$261),0)</f>
        <v>3.2520325203252</v>
      </c>
      <c r="N20" s="13" t="n">
        <f aca="false">IF(J20=1,Въвеждане!$B$9*C20/SUMPRODUCT($C$5:$C$261,$J$5:$J$261),0)</f>
        <v>5.96454780015414</v>
      </c>
      <c r="O20" s="13" t="n">
        <f aca="false">IF(K20=1,Въвеждане!$B$10*C20/SUMPRODUCT($C$5:$C$261,$K$5:$K$261),0)</f>
        <v>20.272322332456</v>
      </c>
      <c r="P20" s="16" t="n">
        <f aca="false">SUM(L20:O20)</f>
        <v>118.19858007229</v>
      </c>
    </row>
    <row r="21" customFormat="false" ht="15" hidden="false" customHeight="false" outlineLevel="0" collapsed="false">
      <c r="A21" s="12" t="n">
        <v>17</v>
      </c>
      <c r="B21" s="12" t="s">
        <v>81</v>
      </c>
      <c r="C21" s="20" t="n">
        <v>0.089</v>
      </c>
      <c r="D21" s="12" t="s">
        <v>62</v>
      </c>
      <c r="E21" s="12" t="n">
        <v>1</v>
      </c>
      <c r="F21" s="12"/>
      <c r="H21" s="21" t="n">
        <v>1</v>
      </c>
      <c r="I21" s="21" t="n">
        <v>1</v>
      </c>
      <c r="J21" s="21" t="n">
        <v>1</v>
      </c>
      <c r="K21" s="21" t="n">
        <v>1</v>
      </c>
      <c r="L21" s="13" t="n">
        <f aca="false">IF(H21=1,Въвеждане!$B$17/SUM($H$5:$H$261),0)</f>
        <v>88.7096774193548</v>
      </c>
      <c r="M21" s="13" t="n">
        <f aca="false">IF(I21=1,Въвеждане!$B$8/SUM($I$5:$I$261),0)</f>
        <v>3.2520325203252</v>
      </c>
      <c r="N21" s="13" t="n">
        <f aca="false">IF(J21=1,Въвеждане!$B$9*C21/SUMPRODUCT($C$5:$C$261,$J$5:$J$261),0)</f>
        <v>5.96454780015414</v>
      </c>
      <c r="O21" s="13" t="n">
        <f aca="false">IF(K21=1,Въвеждане!$B$10*C21/SUMPRODUCT($C$5:$C$261,$K$5:$K$261),0)</f>
        <v>20.272322332456</v>
      </c>
      <c r="P21" s="16" t="n">
        <f aca="false">SUM(L21:O21)</f>
        <v>118.19858007229</v>
      </c>
    </row>
    <row r="22" customFormat="false" ht="15" hidden="false" customHeight="false" outlineLevel="0" collapsed="false">
      <c r="A22" s="12" t="n">
        <v>18</v>
      </c>
      <c r="B22" s="12" t="s">
        <v>82</v>
      </c>
      <c r="C22" s="20" t="n">
        <v>0.089</v>
      </c>
      <c r="D22" s="12" t="s">
        <v>62</v>
      </c>
      <c r="E22" s="12" t="n">
        <v>1</v>
      </c>
      <c r="F22" s="12"/>
      <c r="H22" s="21" t="n">
        <v>1</v>
      </c>
      <c r="I22" s="21" t="n">
        <v>1</v>
      </c>
      <c r="J22" s="21" t="n">
        <v>1</v>
      </c>
      <c r="K22" s="21" t="n">
        <v>1</v>
      </c>
      <c r="L22" s="13" t="n">
        <f aca="false">IF(H22=1,Въвеждане!$B$17/SUM($H$5:$H$261),0)</f>
        <v>88.7096774193548</v>
      </c>
      <c r="M22" s="13" t="n">
        <f aca="false">IF(I22=1,Въвеждане!$B$8/SUM($I$5:$I$261),0)</f>
        <v>3.2520325203252</v>
      </c>
      <c r="N22" s="13" t="n">
        <f aca="false">IF(J22=1,Въвеждане!$B$9*C22/SUMPRODUCT($C$5:$C$261,$J$5:$J$261),0)</f>
        <v>5.96454780015414</v>
      </c>
      <c r="O22" s="13" t="n">
        <f aca="false">IF(K22=1,Въвеждане!$B$10*C22/SUMPRODUCT($C$5:$C$261,$K$5:$K$261),0)</f>
        <v>20.272322332456</v>
      </c>
      <c r="P22" s="16" t="n">
        <f aca="false">SUM(L22:O22)</f>
        <v>118.19858007229</v>
      </c>
    </row>
    <row r="23" customFormat="false" ht="15" hidden="false" customHeight="false" outlineLevel="0" collapsed="false">
      <c r="A23" s="12" t="n">
        <v>19</v>
      </c>
      <c r="B23" s="12" t="s">
        <v>83</v>
      </c>
      <c r="C23" s="20" t="n">
        <v>0.082</v>
      </c>
      <c r="D23" s="12" t="s">
        <v>62</v>
      </c>
      <c r="E23" s="12" t="n">
        <v>1</v>
      </c>
      <c r="F23" s="12"/>
      <c r="H23" s="21" t="n">
        <v>1</v>
      </c>
      <c r="I23" s="21" t="n">
        <v>1</v>
      </c>
      <c r="J23" s="21" t="n">
        <v>1</v>
      </c>
      <c r="K23" s="21" t="n">
        <v>1</v>
      </c>
      <c r="L23" s="13" t="n">
        <f aca="false">IF(H23=1,Въвеждане!$B$17/SUM($H$5:$H$261),0)</f>
        <v>88.7096774193548</v>
      </c>
      <c r="M23" s="13" t="n">
        <f aca="false">IF(I23=1,Въвеждане!$B$8/SUM($I$5:$I$261),0)</f>
        <v>3.2520325203252</v>
      </c>
      <c r="N23" s="13" t="n">
        <f aca="false">IF(J23=1,Въвеждане!$B$9*C23/SUMPRODUCT($C$5:$C$261,$J$5:$J$261),0)</f>
        <v>5.49542606306337</v>
      </c>
      <c r="O23" s="13" t="n">
        <f aca="false">IF(K23=1,Въвеждане!$B$10*C23/SUMPRODUCT($C$5:$C$261,$K$5:$K$261),0)</f>
        <v>18.6778700141729</v>
      </c>
      <c r="P23" s="16" t="n">
        <f aca="false">SUM(L23:O23)</f>
        <v>116.135006016916</v>
      </c>
    </row>
    <row r="24" customFormat="false" ht="15" hidden="false" customHeight="false" outlineLevel="0" collapsed="false">
      <c r="A24" s="12" t="n">
        <v>20</v>
      </c>
      <c r="B24" s="12" t="s">
        <v>84</v>
      </c>
      <c r="C24" s="20" t="n">
        <v>0.152</v>
      </c>
      <c r="D24" s="12" t="s">
        <v>62</v>
      </c>
      <c r="E24" s="12" t="n">
        <v>1</v>
      </c>
      <c r="F24" s="12"/>
      <c r="H24" s="21" t="n">
        <v>1</v>
      </c>
      <c r="I24" s="21" t="n">
        <v>1</v>
      </c>
      <c r="J24" s="21" t="n">
        <v>1</v>
      </c>
      <c r="K24" s="21" t="n">
        <v>1</v>
      </c>
      <c r="L24" s="13" t="n">
        <f aca="false">IF(H24=1,Въвеждане!$B$17/SUM($H$5:$H$261),0)</f>
        <v>88.7096774193548</v>
      </c>
      <c r="M24" s="13" t="n">
        <f aca="false">IF(I24=1,Въвеждане!$B$8/SUM($I$5:$I$261),0)</f>
        <v>3.2520325203252</v>
      </c>
      <c r="N24" s="13" t="n">
        <f aca="false">IF(J24=1,Въвеждане!$B$9*C24/SUMPRODUCT($C$5:$C$261,$J$5:$J$261),0)</f>
        <v>10.1866434339711</v>
      </c>
      <c r="O24" s="13" t="n">
        <f aca="false">IF(K24=1,Въвеждане!$B$10*C24/SUMPRODUCT($C$5:$C$261,$K$5:$K$261),0)</f>
        <v>34.6223931970034</v>
      </c>
      <c r="P24" s="16" t="n">
        <f aca="false">SUM(L24:O24)</f>
        <v>136.770746570655</v>
      </c>
    </row>
    <row r="25" customFormat="false" ht="15" hidden="false" customHeight="false" outlineLevel="0" collapsed="false">
      <c r="A25" s="12" t="n">
        <v>21</v>
      </c>
      <c r="B25" s="12" t="s">
        <v>85</v>
      </c>
      <c r="C25" s="20" t="n">
        <v>0.092</v>
      </c>
      <c r="D25" s="12" t="s">
        <v>62</v>
      </c>
      <c r="E25" s="12" t="n">
        <v>1</v>
      </c>
      <c r="F25" s="12"/>
      <c r="H25" s="21" t="n">
        <v>1</v>
      </c>
      <c r="I25" s="21" t="n">
        <v>1</v>
      </c>
      <c r="J25" s="21" t="n">
        <v>1</v>
      </c>
      <c r="K25" s="21" t="n">
        <v>1</v>
      </c>
      <c r="L25" s="13" t="n">
        <f aca="false">IF(H25=1,Въвеждане!$B$17/SUM($H$5:$H$261),0)</f>
        <v>88.7096774193548</v>
      </c>
      <c r="M25" s="13" t="n">
        <f aca="false">IF(I25=1,Въвеждане!$B$8/SUM($I$5:$I$261),0)</f>
        <v>3.2520325203252</v>
      </c>
      <c r="N25" s="13" t="n">
        <f aca="false">IF(J25=1,Въвеждане!$B$9*C25/SUMPRODUCT($C$5:$C$261,$J$5:$J$261),0)</f>
        <v>6.16559997319304</v>
      </c>
      <c r="O25" s="13" t="n">
        <f aca="false">IF(K25=1,Въвеждане!$B$10*C25/SUMPRODUCT($C$5:$C$261,$K$5:$K$261),0)</f>
        <v>20.9556590402916</v>
      </c>
      <c r="P25" s="16" t="n">
        <f aca="false">SUM(L25:O25)</f>
        <v>119.082968953165</v>
      </c>
    </row>
    <row r="26" customFormat="false" ht="15" hidden="false" customHeight="false" outlineLevel="0" collapsed="false">
      <c r="A26" s="12" t="n">
        <v>22</v>
      </c>
      <c r="B26" s="12" t="s">
        <v>86</v>
      </c>
      <c r="C26" s="20" t="n">
        <v>0.08</v>
      </c>
      <c r="D26" s="12" t="s">
        <v>62</v>
      </c>
      <c r="E26" s="12" t="n">
        <v>1</v>
      </c>
      <c r="F26" s="12"/>
      <c r="H26" s="21" t="n">
        <v>1</v>
      </c>
      <c r="I26" s="21" t="n">
        <v>1</v>
      </c>
      <c r="J26" s="21" t="n">
        <v>1</v>
      </c>
      <c r="K26" s="21" t="n">
        <v>1</v>
      </c>
      <c r="L26" s="13" t="n">
        <f aca="false">IF(H26=1,Въвеждане!$B$17/SUM($H$5:$H$261),0)</f>
        <v>88.7096774193548</v>
      </c>
      <c r="M26" s="13" t="n">
        <f aca="false">IF(I26=1,Въвеждане!$B$8/SUM($I$5:$I$261),0)</f>
        <v>3.2520325203252</v>
      </c>
      <c r="N26" s="13" t="n">
        <f aca="false">IF(J26=1,Въвеждане!$B$9*C26/SUMPRODUCT($C$5:$C$261,$J$5:$J$261),0)</f>
        <v>5.36139128103743</v>
      </c>
      <c r="O26" s="13" t="n">
        <f aca="false">IF(K26=1,Въвеждане!$B$10*C26/SUMPRODUCT($C$5:$C$261,$K$5:$K$261),0)</f>
        <v>18.2223122089492</v>
      </c>
      <c r="P26" s="16" t="n">
        <f aca="false">SUM(L26:O26)</f>
        <v>115.545413429667</v>
      </c>
    </row>
    <row r="27" customFormat="false" ht="15" hidden="false" customHeight="false" outlineLevel="0" collapsed="false">
      <c r="A27" s="12" t="n">
        <v>23</v>
      </c>
      <c r="B27" s="12" t="s">
        <v>87</v>
      </c>
      <c r="C27" s="20" t="n">
        <v>0.107</v>
      </c>
      <c r="D27" s="12" t="s">
        <v>62</v>
      </c>
      <c r="E27" s="12" t="n">
        <v>1</v>
      </c>
      <c r="F27" s="12"/>
      <c r="H27" s="21" t="n">
        <v>1</v>
      </c>
      <c r="I27" s="21" t="n">
        <v>1</v>
      </c>
      <c r="J27" s="21" t="n">
        <v>1</v>
      </c>
      <c r="K27" s="21" t="n">
        <v>1</v>
      </c>
      <c r="L27" s="13" t="n">
        <f aca="false">IF(H27=1,Въвеждане!$B$17/SUM($H$5:$H$261),0)</f>
        <v>88.7096774193548</v>
      </c>
      <c r="M27" s="13" t="n">
        <f aca="false">IF(I27=1,Въвеждане!$B$8/SUM($I$5:$I$261),0)</f>
        <v>3.2520325203252</v>
      </c>
      <c r="N27" s="13" t="n">
        <f aca="false">IF(J27=1,Въвеждане!$B$9*C27/SUMPRODUCT($C$5:$C$261,$J$5:$J$261),0)</f>
        <v>7.17086083838756</v>
      </c>
      <c r="O27" s="13" t="n">
        <f aca="false">IF(K27=1,Въвеждане!$B$10*C27/SUMPRODUCT($C$5:$C$261,$K$5:$K$261),0)</f>
        <v>24.3723425794695</v>
      </c>
      <c r="P27" s="16" t="n">
        <f aca="false">SUM(L27:O27)</f>
        <v>123.504913357537</v>
      </c>
    </row>
    <row r="28" customFormat="false" ht="15" hidden="false" customHeight="false" outlineLevel="0" collapsed="false">
      <c r="A28" s="12" t="n">
        <v>24</v>
      </c>
      <c r="B28" s="12" t="s">
        <v>88</v>
      </c>
      <c r="C28" s="20" t="n">
        <v>0.113</v>
      </c>
      <c r="D28" s="12" t="s">
        <v>62</v>
      </c>
      <c r="E28" s="12" t="n">
        <v>1</v>
      </c>
      <c r="F28" s="12"/>
      <c r="H28" s="21" t="n">
        <v>1</v>
      </c>
      <c r="I28" s="21" t="n">
        <v>1</v>
      </c>
      <c r="J28" s="21" t="n">
        <v>1</v>
      </c>
      <c r="K28" s="21" t="n">
        <v>1</v>
      </c>
      <c r="L28" s="13" t="n">
        <f aca="false">IF(H28=1,Въвеждане!$B$17/SUM($H$5:$H$261),0)</f>
        <v>88.7096774193548</v>
      </c>
      <c r="M28" s="13" t="n">
        <f aca="false">IF(I28=1,Въвеждане!$B$8/SUM($I$5:$I$261),0)</f>
        <v>3.2520325203252</v>
      </c>
      <c r="N28" s="13" t="n">
        <f aca="false">IF(J28=1,Въвеждане!$B$9*C28/SUMPRODUCT($C$5:$C$261,$J$5:$J$261),0)</f>
        <v>7.57296518446537</v>
      </c>
      <c r="O28" s="13" t="n">
        <f aca="false">IF(K28=1,Въвеждане!$B$10*C28/SUMPRODUCT($C$5:$C$261,$K$5:$K$261),0)</f>
        <v>25.7390159951407</v>
      </c>
      <c r="P28" s="16" t="n">
        <f aca="false">SUM(L28:O28)</f>
        <v>125.273691119286</v>
      </c>
    </row>
    <row r="29" customFormat="false" ht="15" hidden="false" customHeight="false" outlineLevel="0" collapsed="false">
      <c r="A29" s="12" t="n">
        <v>25</v>
      </c>
      <c r="B29" s="12" t="s">
        <v>89</v>
      </c>
      <c r="C29" s="20" t="n">
        <v>0.158</v>
      </c>
      <c r="D29" s="12" t="s">
        <v>62</v>
      </c>
      <c r="E29" s="12" t="n">
        <v>1</v>
      </c>
      <c r="F29" s="12"/>
      <c r="H29" s="21" t="n">
        <v>1</v>
      </c>
      <c r="I29" s="21" t="n">
        <v>1</v>
      </c>
      <c r="J29" s="21" t="n">
        <v>1</v>
      </c>
      <c r="K29" s="21" t="n">
        <v>1</v>
      </c>
      <c r="L29" s="13" t="n">
        <f aca="false">IF(H29=1,Въвеждане!$B$17/SUM($H$5:$H$261),0)</f>
        <v>88.7096774193548</v>
      </c>
      <c r="M29" s="13" t="n">
        <f aca="false">IF(I29=1,Въвеждане!$B$8/SUM($I$5:$I$261),0)</f>
        <v>3.2520325203252</v>
      </c>
      <c r="N29" s="13" t="n">
        <f aca="false">IF(J29=1,Въвеждане!$B$9*C29/SUMPRODUCT($C$5:$C$261,$J$5:$J$261),0)</f>
        <v>10.5887477800489</v>
      </c>
      <c r="O29" s="13" t="n">
        <f aca="false">IF(K29=1,Въвеждане!$B$10*C29/SUMPRODUCT($C$5:$C$261,$K$5:$K$261),0)</f>
        <v>35.9890666126746</v>
      </c>
      <c r="P29" s="16" t="n">
        <f aca="false">SUM(L29:O29)</f>
        <v>138.539524332404</v>
      </c>
    </row>
    <row r="30" customFormat="false" ht="15" hidden="false" customHeight="false" outlineLevel="0" collapsed="false">
      <c r="A30" s="12" t="n">
        <v>26</v>
      </c>
      <c r="B30" s="12" t="s">
        <v>90</v>
      </c>
      <c r="C30" s="20" t="n">
        <v>0.168</v>
      </c>
      <c r="D30" s="12" t="s">
        <v>62</v>
      </c>
      <c r="E30" s="12" t="n">
        <v>1</v>
      </c>
      <c r="F30" s="12"/>
      <c r="H30" s="21" t="n">
        <v>1</v>
      </c>
      <c r="I30" s="21" t="n">
        <v>1</v>
      </c>
      <c r="J30" s="21" t="n">
        <v>1</v>
      </c>
      <c r="K30" s="21" t="n">
        <v>1</v>
      </c>
      <c r="L30" s="13" t="n">
        <f aca="false">IF(H30=1,Въвеждане!$B$17/SUM($H$5:$H$261),0)</f>
        <v>88.7096774193548</v>
      </c>
      <c r="M30" s="13" t="n">
        <f aca="false">IF(I30=1,Въвеждане!$B$8/SUM($I$5:$I$261),0)</f>
        <v>3.2520325203252</v>
      </c>
      <c r="N30" s="13" t="n">
        <f aca="false">IF(J30=1,Въвеждане!$B$9*C30/SUMPRODUCT($C$5:$C$261,$J$5:$J$261),0)</f>
        <v>11.2589216901786</v>
      </c>
      <c r="O30" s="13" t="n">
        <f aca="false">IF(K30=1,Въвеждане!$B$10*C30/SUMPRODUCT($C$5:$C$261,$K$5:$K$261),0)</f>
        <v>38.2668556387933</v>
      </c>
      <c r="P30" s="16" t="n">
        <f aca="false">SUM(L30:O30)</f>
        <v>141.487487268652</v>
      </c>
    </row>
    <row r="31" customFormat="false" ht="15" hidden="false" customHeight="false" outlineLevel="0" collapsed="false">
      <c r="A31" s="12" t="n">
        <v>27</v>
      </c>
      <c r="B31" s="12" t="s">
        <v>91</v>
      </c>
      <c r="C31" s="20" t="n">
        <v>0.205</v>
      </c>
      <c r="D31" s="12" t="s">
        <v>62</v>
      </c>
      <c r="E31" s="12" t="n">
        <v>1</v>
      </c>
      <c r="F31" s="12"/>
      <c r="H31" s="21" t="n">
        <v>1</v>
      </c>
      <c r="I31" s="21" t="n">
        <v>1</v>
      </c>
      <c r="J31" s="21" t="n">
        <v>1</v>
      </c>
      <c r="K31" s="21" t="n">
        <v>1</v>
      </c>
      <c r="L31" s="13" t="n">
        <f aca="false">IF(H31=1,Въвеждане!$B$17/SUM($H$5:$H$261),0)</f>
        <v>88.7096774193548</v>
      </c>
      <c r="M31" s="13" t="n">
        <f aca="false">IF(I31=1,Въвеждане!$B$8/SUM($I$5:$I$261),0)</f>
        <v>3.2520325203252</v>
      </c>
      <c r="N31" s="13" t="n">
        <f aca="false">IF(J31=1,Въвеждане!$B$9*C31/SUMPRODUCT($C$5:$C$261,$J$5:$J$261),0)</f>
        <v>13.7385651576584</v>
      </c>
      <c r="O31" s="13" t="n">
        <f aca="false">IF(K31=1,Въвеждане!$B$10*C31/SUMPRODUCT($C$5:$C$261,$K$5:$K$261),0)</f>
        <v>46.6946750354323</v>
      </c>
      <c r="P31" s="16" t="n">
        <f aca="false">SUM(L31:O31)</f>
        <v>152.394950132771</v>
      </c>
    </row>
    <row r="32" customFormat="false" ht="15" hidden="false" customHeight="false" outlineLevel="0" collapsed="false">
      <c r="A32" s="12" t="n">
        <v>28</v>
      </c>
      <c r="B32" s="12" t="s">
        <v>92</v>
      </c>
      <c r="C32" s="20" t="n">
        <v>0.17</v>
      </c>
      <c r="D32" s="12" t="s">
        <v>62</v>
      </c>
      <c r="E32" s="12" t="n">
        <v>1</v>
      </c>
      <c r="F32" s="12"/>
      <c r="H32" s="21" t="n">
        <v>1</v>
      </c>
      <c r="I32" s="21" t="n">
        <v>1</v>
      </c>
      <c r="J32" s="21" t="n">
        <v>1</v>
      </c>
      <c r="K32" s="21" t="n">
        <v>1</v>
      </c>
      <c r="L32" s="13" t="n">
        <f aca="false">IF(H32=1,Въвеждане!$B$17/SUM($H$5:$H$261),0)</f>
        <v>88.7096774193548</v>
      </c>
      <c r="M32" s="13" t="n">
        <f aca="false">IF(I32=1,Въвеждане!$B$8/SUM($I$5:$I$261),0)</f>
        <v>3.2520325203252</v>
      </c>
      <c r="N32" s="13" t="n">
        <f aca="false">IF(J32=1,Въвеждане!$B$9*C32/SUMPRODUCT($C$5:$C$261,$J$5:$J$261),0)</f>
        <v>11.3929564722045</v>
      </c>
      <c r="O32" s="13" t="n">
        <f aca="false">IF(K32=1,Въвеждане!$B$10*C32/SUMPRODUCT($C$5:$C$261,$K$5:$K$261),0)</f>
        <v>38.722413444017</v>
      </c>
      <c r="P32" s="16" t="n">
        <f aca="false">SUM(L32:O32)</f>
        <v>142.077079855902</v>
      </c>
    </row>
    <row r="33" customFormat="false" ht="15" hidden="false" customHeight="false" outlineLevel="0" collapsed="false">
      <c r="A33" s="12" t="n">
        <v>29</v>
      </c>
      <c r="B33" s="12" t="s">
        <v>93</v>
      </c>
      <c r="C33" s="20" t="n">
        <v>0.164</v>
      </c>
      <c r="D33" s="12" t="s">
        <v>62</v>
      </c>
      <c r="E33" s="12" t="n">
        <v>1</v>
      </c>
      <c r="F33" s="12"/>
      <c r="H33" s="21" t="n">
        <v>1</v>
      </c>
      <c r="I33" s="21" t="n">
        <v>1</v>
      </c>
      <c r="J33" s="21" t="n">
        <v>1</v>
      </c>
      <c r="K33" s="21" t="n">
        <v>1</v>
      </c>
      <c r="L33" s="13" t="n">
        <f aca="false">IF(H33=1,Въвеждане!$B$17/SUM($H$5:$H$261),0)</f>
        <v>88.7096774193548</v>
      </c>
      <c r="M33" s="13" t="n">
        <f aca="false">IF(I33=1,Въвеждане!$B$8/SUM($I$5:$I$261),0)</f>
        <v>3.2520325203252</v>
      </c>
      <c r="N33" s="13" t="n">
        <f aca="false">IF(J33=1,Въвеждане!$B$9*C33/SUMPRODUCT($C$5:$C$261,$J$5:$J$261),0)</f>
        <v>10.9908521261267</v>
      </c>
      <c r="O33" s="13" t="n">
        <f aca="false">IF(K33=1,Въвеждане!$B$10*C33/SUMPRODUCT($C$5:$C$261,$K$5:$K$261),0)</f>
        <v>37.3557400283458</v>
      </c>
      <c r="P33" s="16" t="n">
        <f aca="false">SUM(L33:O33)</f>
        <v>140.308302094153</v>
      </c>
    </row>
    <row r="34" customFormat="false" ht="15" hidden="false" customHeight="false" outlineLevel="0" collapsed="false">
      <c r="A34" s="12" t="n">
        <v>30</v>
      </c>
      <c r="B34" s="12" t="s">
        <v>94</v>
      </c>
      <c r="C34" s="20" t="n">
        <v>0.104</v>
      </c>
      <c r="D34" s="12" t="s">
        <v>62</v>
      </c>
      <c r="E34" s="12" t="n">
        <v>1</v>
      </c>
      <c r="F34" s="12"/>
      <c r="H34" s="21" t="n">
        <v>1</v>
      </c>
      <c r="I34" s="21" t="n">
        <v>1</v>
      </c>
      <c r="J34" s="21" t="n">
        <v>1</v>
      </c>
      <c r="K34" s="21" t="n">
        <v>1</v>
      </c>
      <c r="L34" s="13" t="n">
        <f aca="false">IF(H34=1,Въвеждане!$B$17/SUM($H$5:$H$261),0)</f>
        <v>88.7096774193548</v>
      </c>
      <c r="M34" s="13" t="n">
        <f aca="false">IF(I34=1,Въвеждане!$B$8/SUM($I$5:$I$261),0)</f>
        <v>3.2520325203252</v>
      </c>
      <c r="N34" s="13" t="n">
        <f aca="false">IF(J34=1,Въвеждане!$B$9*C34/SUMPRODUCT($C$5:$C$261,$J$5:$J$261),0)</f>
        <v>6.96980866534866</v>
      </c>
      <c r="O34" s="13" t="n">
        <f aca="false">IF(K34=1,Въвеждане!$B$10*C34/SUMPRODUCT($C$5:$C$261,$K$5:$K$261),0)</f>
        <v>23.6890058716339</v>
      </c>
      <c r="P34" s="16" t="n">
        <f aca="false">SUM(L34:O34)</f>
        <v>122.620524476663</v>
      </c>
    </row>
    <row r="35" customFormat="false" ht="15" hidden="false" customHeight="false" outlineLevel="0" collapsed="false">
      <c r="A35" s="12" t="n">
        <v>31</v>
      </c>
      <c r="B35" s="12" t="s">
        <v>95</v>
      </c>
      <c r="C35" s="20" t="n">
        <v>0.135</v>
      </c>
      <c r="D35" s="12" t="s">
        <v>62</v>
      </c>
      <c r="E35" s="12" t="n">
        <v>1</v>
      </c>
      <c r="F35" s="12"/>
      <c r="H35" s="21" t="n">
        <v>1</v>
      </c>
      <c r="I35" s="21" t="n">
        <v>1</v>
      </c>
      <c r="J35" s="21" t="n">
        <v>1</v>
      </c>
      <c r="K35" s="21" t="n">
        <v>1</v>
      </c>
      <c r="L35" s="13" t="n">
        <f aca="false">IF(H35=1,Въвеждане!$B$17/SUM($H$5:$H$261),0)</f>
        <v>88.7096774193548</v>
      </c>
      <c r="M35" s="13" t="n">
        <f aca="false">IF(I35=1,Въвеждане!$B$8/SUM($I$5:$I$261),0)</f>
        <v>3.2520325203252</v>
      </c>
      <c r="N35" s="13" t="n">
        <f aca="false">IF(J35=1,Въвеждане!$B$9*C35/SUMPRODUCT($C$5:$C$261,$J$5:$J$261),0)</f>
        <v>9.04734778675066</v>
      </c>
      <c r="O35" s="13" t="n">
        <f aca="false">IF(K35=1,Въвеждане!$B$10*C35/SUMPRODUCT($C$5:$C$261,$K$5:$K$261),0)</f>
        <v>30.7501518526017</v>
      </c>
      <c r="P35" s="16" t="n">
        <f aca="false">SUM(L35:O35)</f>
        <v>131.759209579032</v>
      </c>
    </row>
    <row r="36" customFormat="false" ht="15" hidden="false" customHeight="false" outlineLevel="0" collapsed="false">
      <c r="A36" s="12" t="n">
        <v>32</v>
      </c>
      <c r="B36" s="12" t="s">
        <v>96</v>
      </c>
      <c r="C36" s="20" t="n">
        <v>0.16</v>
      </c>
      <c r="D36" s="12" t="s">
        <v>62</v>
      </c>
      <c r="E36" s="12" t="n">
        <v>1</v>
      </c>
      <c r="F36" s="12"/>
      <c r="H36" s="21" t="n">
        <v>1</v>
      </c>
      <c r="I36" s="21" t="n">
        <v>1</v>
      </c>
      <c r="J36" s="21" t="n">
        <v>1</v>
      </c>
      <c r="K36" s="21" t="n">
        <v>1</v>
      </c>
      <c r="L36" s="13" t="n">
        <f aca="false">IF(H36=1,Въвеждане!$B$17/SUM($H$5:$H$261),0)</f>
        <v>88.7096774193548</v>
      </c>
      <c r="M36" s="13" t="n">
        <f aca="false">IF(I36=1,Въвеждане!$B$8/SUM($I$5:$I$261),0)</f>
        <v>3.2520325203252</v>
      </c>
      <c r="N36" s="13" t="n">
        <f aca="false">IF(J36=1,Въвеждане!$B$9*C36/SUMPRODUCT($C$5:$C$261,$J$5:$J$261),0)</f>
        <v>10.7227825620749</v>
      </c>
      <c r="O36" s="13" t="n">
        <f aca="false">IF(K36=1,Въвеждане!$B$10*C36/SUMPRODUCT($C$5:$C$261,$K$5:$K$261),0)</f>
        <v>36.4446244178984</v>
      </c>
      <c r="P36" s="16" t="n">
        <f aca="false">SUM(L36:O36)</f>
        <v>139.129116919653</v>
      </c>
    </row>
    <row r="37" customFormat="false" ht="15" hidden="false" customHeight="false" outlineLevel="0" collapsed="false">
      <c r="A37" s="12" t="n">
        <v>33</v>
      </c>
      <c r="B37" s="12" t="s">
        <v>97</v>
      </c>
      <c r="C37" s="20" t="n">
        <v>0.169</v>
      </c>
      <c r="D37" s="12" t="s">
        <v>62</v>
      </c>
      <c r="E37" s="12" t="n">
        <v>1</v>
      </c>
      <c r="F37" s="12"/>
      <c r="H37" s="21" t="n">
        <v>1</v>
      </c>
      <c r="I37" s="21" t="n">
        <v>1</v>
      </c>
      <c r="J37" s="21" t="n">
        <v>1</v>
      </c>
      <c r="K37" s="21" t="n">
        <v>1</v>
      </c>
      <c r="L37" s="13" t="n">
        <f aca="false">IF(H37=1,Въвеждане!$B$17/SUM($H$5:$H$261),0)</f>
        <v>88.7096774193548</v>
      </c>
      <c r="M37" s="13" t="n">
        <f aca="false">IF(I37=1,Въвеждане!$B$8/SUM($I$5:$I$261),0)</f>
        <v>3.2520325203252</v>
      </c>
      <c r="N37" s="13" t="n">
        <f aca="false">IF(J37=1,Въвеждане!$B$9*C37/SUMPRODUCT($C$5:$C$261,$J$5:$J$261),0)</f>
        <v>11.3259390811916</v>
      </c>
      <c r="O37" s="13" t="n">
        <f aca="false">IF(K37=1,Въвеждане!$B$10*C37/SUMPRODUCT($C$5:$C$261,$K$5:$K$261),0)</f>
        <v>38.4946345414051</v>
      </c>
      <c r="P37" s="16" t="n">
        <f aca="false">SUM(L37:O37)</f>
        <v>141.782283562277</v>
      </c>
    </row>
    <row r="38" customFormat="false" ht="15" hidden="false" customHeight="false" outlineLevel="0" collapsed="false">
      <c r="A38" s="12" t="n">
        <v>34</v>
      </c>
      <c r="B38" s="12" t="s">
        <v>98</v>
      </c>
      <c r="C38" s="20" t="n">
        <v>0.163</v>
      </c>
      <c r="D38" s="12" t="s">
        <v>62</v>
      </c>
      <c r="E38" s="12" t="n">
        <v>1</v>
      </c>
      <c r="F38" s="12"/>
      <c r="H38" s="21" t="n">
        <v>1</v>
      </c>
      <c r="I38" s="21" t="n">
        <v>1</v>
      </c>
      <c r="J38" s="21" t="n">
        <v>1</v>
      </c>
      <c r="K38" s="21" t="n">
        <v>1</v>
      </c>
      <c r="L38" s="13" t="n">
        <f aca="false">IF(H38=1,Въвеждане!$B$17/SUM($H$5:$H$261),0)</f>
        <v>88.7096774193548</v>
      </c>
      <c r="M38" s="13" t="n">
        <f aca="false">IF(I38=1,Въвеждане!$B$8/SUM($I$5:$I$261),0)</f>
        <v>3.2520325203252</v>
      </c>
      <c r="N38" s="13" t="n">
        <f aca="false">IF(J38=1,Въвеждане!$B$9*C38/SUMPRODUCT($C$5:$C$261,$J$5:$J$261),0)</f>
        <v>10.9238347351138</v>
      </c>
      <c r="O38" s="13" t="n">
        <f aca="false">IF(K38=1,Въвеждане!$B$10*C38/SUMPRODUCT($C$5:$C$261,$K$5:$K$261),0)</f>
        <v>37.127961125734</v>
      </c>
      <c r="P38" s="16" t="n">
        <f aca="false">SUM(L38:O38)</f>
        <v>140.013505800528</v>
      </c>
    </row>
    <row r="39" customFormat="false" ht="15" hidden="false" customHeight="false" outlineLevel="0" collapsed="false">
      <c r="A39" s="12" t="n">
        <v>35</v>
      </c>
      <c r="B39" s="12" t="s">
        <v>99</v>
      </c>
      <c r="C39" s="20" t="n">
        <v>0.167</v>
      </c>
      <c r="D39" s="12" t="s">
        <v>62</v>
      </c>
      <c r="E39" s="12" t="n">
        <v>1</v>
      </c>
      <c r="F39" s="12"/>
      <c r="H39" s="21" t="n">
        <v>1</v>
      </c>
      <c r="I39" s="21" t="n">
        <v>1</v>
      </c>
      <c r="J39" s="21" t="n">
        <v>1</v>
      </c>
      <c r="K39" s="21" t="n">
        <v>1</v>
      </c>
      <c r="L39" s="13" t="n">
        <f aca="false">IF(H39=1,Въвеждане!$B$17/SUM($H$5:$H$261),0)</f>
        <v>88.7096774193548</v>
      </c>
      <c r="M39" s="13" t="n">
        <f aca="false">IF(I39=1,Въвеждане!$B$8/SUM($I$5:$I$261),0)</f>
        <v>3.2520325203252</v>
      </c>
      <c r="N39" s="13" t="n">
        <f aca="false">IF(J39=1,Въвеждане!$B$9*C39/SUMPRODUCT($C$5:$C$261,$J$5:$J$261),0)</f>
        <v>11.1919042991656</v>
      </c>
      <c r="O39" s="13" t="n">
        <f aca="false">IF(K39=1,Въвеждане!$B$10*C39/SUMPRODUCT($C$5:$C$261,$K$5:$K$261),0)</f>
        <v>38.0390767361814</v>
      </c>
      <c r="P39" s="16" t="n">
        <f aca="false">SUM(L39:O39)</f>
        <v>141.192690975027</v>
      </c>
    </row>
    <row r="40" customFormat="false" ht="15" hidden="false" customHeight="false" outlineLevel="0" collapsed="false">
      <c r="A40" s="12" t="n">
        <v>36</v>
      </c>
      <c r="B40" s="12" t="s">
        <v>100</v>
      </c>
      <c r="C40" s="20" t="n">
        <v>0.174</v>
      </c>
      <c r="D40" s="12" t="s">
        <v>62</v>
      </c>
      <c r="E40" s="12" t="n">
        <v>1</v>
      </c>
      <c r="F40" s="12"/>
      <c r="H40" s="21" t="n">
        <v>1</v>
      </c>
      <c r="I40" s="21" t="n">
        <v>1</v>
      </c>
      <c r="J40" s="21" t="n">
        <v>1</v>
      </c>
      <c r="K40" s="21" t="n">
        <v>1</v>
      </c>
      <c r="L40" s="13" t="n">
        <f aca="false">IF(H40=1,Въвеждане!$B$17/SUM($H$5:$H$261),0)</f>
        <v>88.7096774193548</v>
      </c>
      <c r="M40" s="13" t="n">
        <f aca="false">IF(I40=1,Въвеждане!$B$8/SUM($I$5:$I$261),0)</f>
        <v>3.2520325203252</v>
      </c>
      <c r="N40" s="13" t="n">
        <f aca="false">IF(J40=1,Въвеждане!$B$9*C40/SUMPRODUCT($C$5:$C$261,$J$5:$J$261),0)</f>
        <v>11.6610260362564</v>
      </c>
      <c r="O40" s="13" t="n">
        <f aca="false">IF(K40=1,Въвеждане!$B$10*C40/SUMPRODUCT($C$5:$C$261,$K$5:$K$261),0)</f>
        <v>39.6335290544645</v>
      </c>
      <c r="P40" s="16" t="n">
        <f aca="false">SUM(L40:O40)</f>
        <v>143.256265030401</v>
      </c>
    </row>
    <row r="41" customFormat="false" ht="15" hidden="false" customHeight="false" outlineLevel="0" collapsed="false">
      <c r="A41" s="12" t="n">
        <v>37</v>
      </c>
      <c r="B41" s="12" t="s">
        <v>101</v>
      </c>
      <c r="C41" s="20" t="n">
        <v>0.126</v>
      </c>
      <c r="D41" s="12" t="s">
        <v>62</v>
      </c>
      <c r="E41" s="12" t="n">
        <v>1</v>
      </c>
      <c r="F41" s="12"/>
      <c r="H41" s="21" t="n">
        <v>1</v>
      </c>
      <c r="I41" s="21" t="n">
        <v>1</v>
      </c>
      <c r="J41" s="21" t="n">
        <v>1</v>
      </c>
      <c r="K41" s="21" t="n">
        <v>1</v>
      </c>
      <c r="L41" s="13" t="n">
        <f aca="false">IF(H41=1,Въвеждане!$B$17/SUM($H$5:$H$261),0)</f>
        <v>88.7096774193548</v>
      </c>
      <c r="M41" s="13" t="n">
        <f aca="false">IF(I41=1,Въвеждане!$B$8/SUM($I$5:$I$261),0)</f>
        <v>3.2520325203252</v>
      </c>
      <c r="N41" s="13" t="n">
        <f aca="false">IF(J41=1,Въвеждане!$B$9*C41/SUMPRODUCT($C$5:$C$261,$J$5:$J$261),0)</f>
        <v>8.44419126763395</v>
      </c>
      <c r="O41" s="13" t="n">
        <f aca="false">IF(K41=1,Въвеждане!$B$10*C41/SUMPRODUCT($C$5:$C$261,$K$5:$K$261),0)</f>
        <v>28.700141729095</v>
      </c>
      <c r="P41" s="16" t="n">
        <f aca="false">SUM(L41:O41)</f>
        <v>129.106042936409</v>
      </c>
    </row>
    <row r="42" customFormat="false" ht="15" hidden="false" customHeight="false" outlineLevel="0" collapsed="false">
      <c r="A42" s="12" t="n">
        <v>38</v>
      </c>
      <c r="B42" s="12" t="s">
        <v>102</v>
      </c>
      <c r="C42" s="20" t="n">
        <v>0.17</v>
      </c>
      <c r="D42" s="12" t="s">
        <v>62</v>
      </c>
      <c r="E42" s="12" t="n">
        <v>1</v>
      </c>
      <c r="F42" s="12"/>
      <c r="H42" s="21" t="n">
        <v>1</v>
      </c>
      <c r="I42" s="21" t="n">
        <v>1</v>
      </c>
      <c r="J42" s="21" t="n">
        <v>1</v>
      </c>
      <c r="K42" s="21" t="n">
        <v>1</v>
      </c>
      <c r="L42" s="13" t="n">
        <f aca="false">IF(H42=1,Въвеждане!$B$17/SUM($H$5:$H$261),0)</f>
        <v>88.7096774193548</v>
      </c>
      <c r="M42" s="13" t="n">
        <f aca="false">IF(I42=1,Въвеждане!$B$8/SUM($I$5:$I$261),0)</f>
        <v>3.2520325203252</v>
      </c>
      <c r="N42" s="13" t="n">
        <f aca="false">IF(J42=1,Въвеждане!$B$9*C42/SUMPRODUCT($C$5:$C$261,$J$5:$J$261),0)</f>
        <v>11.3929564722045</v>
      </c>
      <c r="O42" s="13" t="n">
        <f aca="false">IF(K42=1,Въвеждане!$B$10*C42/SUMPRODUCT($C$5:$C$261,$K$5:$K$261),0)</f>
        <v>38.722413444017</v>
      </c>
      <c r="P42" s="16" t="n">
        <f aca="false">SUM(L42:O42)</f>
        <v>142.077079855902</v>
      </c>
    </row>
    <row r="43" customFormat="false" ht="15" hidden="false" customHeight="false" outlineLevel="0" collapsed="false">
      <c r="A43" s="12" t="n">
        <v>39</v>
      </c>
      <c r="B43" s="12" t="s">
        <v>103</v>
      </c>
      <c r="C43" s="20" t="n">
        <v>0.176</v>
      </c>
      <c r="D43" s="12" t="s">
        <v>62</v>
      </c>
      <c r="E43" s="12" t="n">
        <v>1</v>
      </c>
      <c r="F43" s="12"/>
      <c r="H43" s="21" t="n">
        <v>1</v>
      </c>
      <c r="I43" s="21" t="n">
        <v>1</v>
      </c>
      <c r="J43" s="21" t="n">
        <v>1</v>
      </c>
      <c r="K43" s="21" t="n">
        <v>1</v>
      </c>
      <c r="L43" s="13" t="n">
        <f aca="false">IF(H43=1,Въвеждане!$B$17/SUM($H$5:$H$261),0)</f>
        <v>88.7096774193548</v>
      </c>
      <c r="M43" s="13" t="n">
        <f aca="false">IF(I43=1,Въвеждане!$B$8/SUM($I$5:$I$261),0)</f>
        <v>3.2520325203252</v>
      </c>
      <c r="N43" s="13" t="n">
        <f aca="false">IF(J43=1,Въвеждане!$B$9*C43/SUMPRODUCT($C$5:$C$261,$J$5:$J$261),0)</f>
        <v>11.7950608182823</v>
      </c>
      <c r="O43" s="13" t="n">
        <f aca="false">IF(K43=1,Въвеждане!$B$10*C43/SUMPRODUCT($C$5:$C$261,$K$5:$K$261),0)</f>
        <v>40.0890868596882</v>
      </c>
      <c r="P43" s="16" t="n">
        <f aca="false">SUM(L43:O43)</f>
        <v>143.845857617651</v>
      </c>
    </row>
    <row r="44" customFormat="false" ht="15" hidden="false" customHeight="false" outlineLevel="0" collapsed="false">
      <c r="A44" s="12" t="n">
        <v>40</v>
      </c>
      <c r="B44" s="12" t="s">
        <v>104</v>
      </c>
      <c r="C44" s="20" t="n">
        <v>0.17</v>
      </c>
      <c r="D44" s="12" t="s">
        <v>62</v>
      </c>
      <c r="E44" s="12" t="n">
        <v>1</v>
      </c>
      <c r="F44" s="12"/>
      <c r="H44" s="21" t="n">
        <v>1</v>
      </c>
      <c r="I44" s="21" t="n">
        <v>1</v>
      </c>
      <c r="J44" s="21" t="n">
        <v>1</v>
      </c>
      <c r="K44" s="21" t="n">
        <v>1</v>
      </c>
      <c r="L44" s="13" t="n">
        <f aca="false">IF(H44=1,Въвеждане!$B$17/SUM($H$5:$H$261),0)</f>
        <v>88.7096774193548</v>
      </c>
      <c r="M44" s="13" t="n">
        <f aca="false">IF(I44=1,Въвеждане!$B$8/SUM($I$5:$I$261),0)</f>
        <v>3.2520325203252</v>
      </c>
      <c r="N44" s="13" t="n">
        <f aca="false">IF(J44=1,Въвеждане!$B$9*C44/SUMPRODUCT($C$5:$C$261,$J$5:$J$261),0)</f>
        <v>11.3929564722045</v>
      </c>
      <c r="O44" s="13" t="n">
        <f aca="false">IF(K44=1,Въвеждане!$B$10*C44/SUMPRODUCT($C$5:$C$261,$K$5:$K$261),0)</f>
        <v>38.722413444017</v>
      </c>
      <c r="P44" s="16" t="n">
        <f aca="false">SUM(L44:O44)</f>
        <v>142.077079855902</v>
      </c>
    </row>
    <row r="45" customFormat="false" ht="15" hidden="false" customHeight="false" outlineLevel="0" collapsed="false">
      <c r="A45" s="12" t="n">
        <v>41</v>
      </c>
      <c r="B45" s="12" t="s">
        <v>105</v>
      </c>
      <c r="C45" s="20" t="n">
        <v>0.164</v>
      </c>
      <c r="D45" s="12" t="s">
        <v>62</v>
      </c>
      <c r="E45" s="12" t="n">
        <v>1</v>
      </c>
      <c r="F45" s="12"/>
      <c r="H45" s="21" t="n">
        <v>1</v>
      </c>
      <c r="I45" s="21" t="n">
        <v>1</v>
      </c>
      <c r="J45" s="21" t="n">
        <v>1</v>
      </c>
      <c r="K45" s="21" t="n">
        <v>1</v>
      </c>
      <c r="L45" s="13" t="n">
        <f aca="false">IF(H45=1,Въвеждане!$B$17/SUM($H$5:$H$261),0)</f>
        <v>88.7096774193548</v>
      </c>
      <c r="M45" s="13" t="n">
        <f aca="false">IF(I45=1,Въвеждане!$B$8/SUM($I$5:$I$261),0)</f>
        <v>3.2520325203252</v>
      </c>
      <c r="N45" s="13" t="n">
        <f aca="false">IF(J45=1,Въвеждане!$B$9*C45/SUMPRODUCT($C$5:$C$261,$J$5:$J$261),0)</f>
        <v>10.9908521261267</v>
      </c>
      <c r="O45" s="13" t="n">
        <f aca="false">IF(K45=1,Въвеждане!$B$10*C45/SUMPRODUCT($C$5:$C$261,$K$5:$K$261),0)</f>
        <v>37.3557400283458</v>
      </c>
      <c r="P45" s="16" t="n">
        <f aca="false">SUM(L45:O45)</f>
        <v>140.308302094153</v>
      </c>
    </row>
    <row r="46" customFormat="false" ht="15" hidden="false" customHeight="false" outlineLevel="0" collapsed="false">
      <c r="A46" s="12" t="n">
        <v>42</v>
      </c>
      <c r="B46" s="12" t="s">
        <v>106</v>
      </c>
      <c r="C46" s="20" t="n">
        <v>0.113</v>
      </c>
      <c r="D46" s="12" t="s">
        <v>62</v>
      </c>
      <c r="E46" s="12" t="n">
        <v>1</v>
      </c>
      <c r="F46" s="12"/>
      <c r="H46" s="21" t="n">
        <v>1</v>
      </c>
      <c r="I46" s="21" t="n">
        <v>1</v>
      </c>
      <c r="J46" s="21" t="n">
        <v>1</v>
      </c>
      <c r="K46" s="21" t="n">
        <v>1</v>
      </c>
      <c r="L46" s="13" t="n">
        <f aca="false">IF(H46=1,Въвеждане!$B$17/SUM($H$5:$H$261),0)</f>
        <v>88.7096774193548</v>
      </c>
      <c r="M46" s="13" t="n">
        <f aca="false">IF(I46=1,Въвеждане!$B$8/SUM($I$5:$I$261),0)</f>
        <v>3.2520325203252</v>
      </c>
      <c r="N46" s="13" t="n">
        <f aca="false">IF(J46=1,Въвеждане!$B$9*C46/SUMPRODUCT($C$5:$C$261,$J$5:$J$261),0)</f>
        <v>7.57296518446537</v>
      </c>
      <c r="O46" s="13" t="n">
        <f aca="false">IF(K46=1,Въвеждане!$B$10*C46/SUMPRODUCT($C$5:$C$261,$K$5:$K$261),0)</f>
        <v>25.7390159951407</v>
      </c>
      <c r="P46" s="16" t="n">
        <f aca="false">SUM(L46:O46)</f>
        <v>125.273691119286</v>
      </c>
    </row>
    <row r="47" customFormat="false" ht="15" hidden="false" customHeight="false" outlineLevel="0" collapsed="false">
      <c r="A47" s="12" t="n">
        <v>43</v>
      </c>
      <c r="B47" s="12" t="s">
        <v>107</v>
      </c>
      <c r="C47" s="20" t="n">
        <v>0.113</v>
      </c>
      <c r="D47" s="12" t="s">
        <v>62</v>
      </c>
      <c r="E47" s="12" t="n">
        <v>1</v>
      </c>
      <c r="F47" s="12"/>
      <c r="H47" s="21" t="n">
        <v>1</v>
      </c>
      <c r="I47" s="21" t="n">
        <v>1</v>
      </c>
      <c r="J47" s="21" t="n">
        <v>1</v>
      </c>
      <c r="K47" s="21" t="n">
        <v>1</v>
      </c>
      <c r="L47" s="13" t="n">
        <f aca="false">IF(H47=1,Въвеждане!$B$17/SUM($H$5:$H$261),0)</f>
        <v>88.7096774193548</v>
      </c>
      <c r="M47" s="13" t="n">
        <f aca="false">IF(I47=1,Въвеждане!$B$8/SUM($I$5:$I$261),0)</f>
        <v>3.2520325203252</v>
      </c>
      <c r="N47" s="13" t="n">
        <f aca="false">IF(J47=1,Въвеждане!$B$9*C47/SUMPRODUCT($C$5:$C$261,$J$5:$J$261),0)</f>
        <v>7.57296518446537</v>
      </c>
      <c r="O47" s="13" t="n">
        <f aca="false">IF(K47=1,Въвеждане!$B$10*C47/SUMPRODUCT($C$5:$C$261,$K$5:$K$261),0)</f>
        <v>25.7390159951407</v>
      </c>
      <c r="P47" s="16" t="n">
        <f aca="false">SUM(L47:O47)</f>
        <v>125.273691119286</v>
      </c>
    </row>
    <row r="48" customFormat="false" ht="15" hidden="false" customHeight="false" outlineLevel="0" collapsed="false">
      <c r="A48" s="12" t="n">
        <v>44</v>
      </c>
      <c r="B48" s="12" t="s">
        <v>108</v>
      </c>
      <c r="C48" s="20" t="n">
        <v>0.151</v>
      </c>
      <c r="D48" s="12" t="s">
        <v>62</v>
      </c>
      <c r="E48" s="12" t="n">
        <v>1</v>
      </c>
      <c r="F48" s="12"/>
      <c r="H48" s="21" t="n">
        <v>1</v>
      </c>
      <c r="I48" s="21" t="n">
        <v>1</v>
      </c>
      <c r="J48" s="21" t="n">
        <v>1</v>
      </c>
      <c r="K48" s="21" t="n">
        <v>1</v>
      </c>
      <c r="L48" s="13" t="n">
        <f aca="false">IF(H48=1,Въвеждане!$B$17/SUM($H$5:$H$261),0)</f>
        <v>88.7096774193548</v>
      </c>
      <c r="M48" s="13" t="n">
        <f aca="false">IF(I48=1,Въвеждане!$B$8/SUM($I$5:$I$261),0)</f>
        <v>3.2520325203252</v>
      </c>
      <c r="N48" s="13" t="n">
        <f aca="false">IF(J48=1,Въвеждане!$B$9*C48/SUMPRODUCT($C$5:$C$261,$J$5:$J$261),0)</f>
        <v>10.1196260429581</v>
      </c>
      <c r="O48" s="13" t="n">
        <f aca="false">IF(K48=1,Въвеждане!$B$10*C48/SUMPRODUCT($C$5:$C$261,$K$5:$K$261),0)</f>
        <v>34.3946142943916</v>
      </c>
      <c r="P48" s="16" t="n">
        <f aca="false">SUM(L48:O48)</f>
        <v>136.47595027703</v>
      </c>
    </row>
    <row r="49" customFormat="false" ht="15" hidden="false" customHeight="false" outlineLevel="0" collapsed="false">
      <c r="A49" s="12" t="n">
        <v>45</v>
      </c>
      <c r="B49" s="12" t="s">
        <v>109</v>
      </c>
      <c r="C49" s="20" t="n">
        <v>0.146</v>
      </c>
      <c r="D49" s="12" t="s">
        <v>62</v>
      </c>
      <c r="E49" s="12" t="n">
        <v>1</v>
      </c>
      <c r="F49" s="12"/>
      <c r="H49" s="21" t="n">
        <v>1</v>
      </c>
      <c r="I49" s="21" t="n">
        <v>1</v>
      </c>
      <c r="J49" s="21" t="n">
        <v>1</v>
      </c>
      <c r="K49" s="21" t="n">
        <v>1</v>
      </c>
      <c r="L49" s="13" t="n">
        <f aca="false">IF(H49=1,Въвеждане!$B$17/SUM($H$5:$H$261),0)</f>
        <v>88.7096774193548</v>
      </c>
      <c r="M49" s="13" t="n">
        <f aca="false">IF(I49=1,Въвеждане!$B$8/SUM($I$5:$I$261),0)</f>
        <v>3.2520325203252</v>
      </c>
      <c r="N49" s="13" t="n">
        <f aca="false">IF(J49=1,Въвеждане!$B$9*C49/SUMPRODUCT($C$5:$C$261,$J$5:$J$261),0)</f>
        <v>9.78453908789331</v>
      </c>
      <c r="O49" s="13" t="n">
        <f aca="false">IF(K49=1,Въвеждане!$B$10*C49/SUMPRODUCT($C$5:$C$261,$K$5:$K$261),0)</f>
        <v>33.2557197813323</v>
      </c>
      <c r="P49" s="16" t="n">
        <f aca="false">SUM(L49:O49)</f>
        <v>135.001968808906</v>
      </c>
    </row>
    <row r="50" customFormat="false" ht="15" hidden="false" customHeight="false" outlineLevel="0" collapsed="false">
      <c r="A50" s="12" t="n">
        <v>46</v>
      </c>
      <c r="B50" s="12" t="s">
        <v>110</v>
      </c>
      <c r="C50" s="20" t="n">
        <v>0.145</v>
      </c>
      <c r="D50" s="12" t="s">
        <v>62</v>
      </c>
      <c r="E50" s="12" t="n">
        <v>1</v>
      </c>
      <c r="F50" s="12"/>
      <c r="H50" s="21" t="n">
        <v>1</v>
      </c>
      <c r="I50" s="21" t="n">
        <v>1</v>
      </c>
      <c r="J50" s="21" t="n">
        <v>1</v>
      </c>
      <c r="K50" s="21" t="n">
        <v>1</v>
      </c>
      <c r="L50" s="13" t="n">
        <f aca="false">IF(H50=1,Въвеждане!$B$17/SUM($H$5:$H$261),0)</f>
        <v>88.7096774193548</v>
      </c>
      <c r="M50" s="13" t="n">
        <f aca="false">IF(I50=1,Въвеждане!$B$8/SUM($I$5:$I$261),0)</f>
        <v>3.2520325203252</v>
      </c>
      <c r="N50" s="13" t="n">
        <f aca="false">IF(J50=1,Въвеждане!$B$9*C50/SUMPRODUCT($C$5:$C$261,$J$5:$J$261),0)</f>
        <v>9.71752169688034</v>
      </c>
      <c r="O50" s="13" t="n">
        <f aca="false">IF(K50=1,Въвеждане!$B$10*C50/SUMPRODUCT($C$5:$C$261,$K$5:$K$261),0)</f>
        <v>33.0279408787204</v>
      </c>
      <c r="P50" s="16" t="n">
        <f aca="false">SUM(L50:O50)</f>
        <v>134.707172515281</v>
      </c>
    </row>
    <row r="51" customFormat="false" ht="15" hidden="false" customHeight="false" outlineLevel="0" collapsed="false">
      <c r="A51" s="12" t="n">
        <v>47</v>
      </c>
      <c r="B51" s="12" t="s">
        <v>111</v>
      </c>
      <c r="C51" s="20" t="n">
        <v>0.152</v>
      </c>
      <c r="D51" s="12" t="s">
        <v>62</v>
      </c>
      <c r="E51" s="12" t="n">
        <v>1</v>
      </c>
      <c r="F51" s="12"/>
      <c r="H51" s="21" t="n">
        <v>1</v>
      </c>
      <c r="I51" s="21" t="n">
        <v>1</v>
      </c>
      <c r="J51" s="21" t="n">
        <v>1</v>
      </c>
      <c r="K51" s="21" t="n">
        <v>1</v>
      </c>
      <c r="L51" s="13" t="n">
        <f aca="false">IF(H51=1,Въвеждане!$B$17/SUM($H$5:$H$261),0)</f>
        <v>88.7096774193548</v>
      </c>
      <c r="M51" s="13" t="n">
        <f aca="false">IF(I51=1,Въвеждане!$B$8/SUM($I$5:$I$261),0)</f>
        <v>3.2520325203252</v>
      </c>
      <c r="N51" s="13" t="n">
        <f aca="false">IF(J51=1,Въвеждане!$B$9*C51/SUMPRODUCT($C$5:$C$261,$J$5:$J$261),0)</f>
        <v>10.1866434339711</v>
      </c>
      <c r="O51" s="13" t="n">
        <f aca="false">IF(K51=1,Въвеждане!$B$10*C51/SUMPRODUCT($C$5:$C$261,$K$5:$K$261),0)</f>
        <v>34.6223931970034</v>
      </c>
      <c r="P51" s="16" t="n">
        <f aca="false">SUM(L51:O51)</f>
        <v>136.770746570655</v>
      </c>
    </row>
    <row r="52" customFormat="false" ht="15" hidden="false" customHeight="false" outlineLevel="0" collapsed="false">
      <c r="A52" s="12" t="n">
        <v>48</v>
      </c>
      <c r="B52" s="12" t="s">
        <v>112</v>
      </c>
      <c r="C52" s="20" t="n">
        <v>0.166</v>
      </c>
      <c r="D52" s="12" t="s">
        <v>62</v>
      </c>
      <c r="E52" s="12" t="n">
        <v>1</v>
      </c>
      <c r="F52" s="12"/>
      <c r="H52" s="21" t="n">
        <v>1</v>
      </c>
      <c r="I52" s="21" t="n">
        <v>1</v>
      </c>
      <c r="J52" s="21" t="n">
        <v>1</v>
      </c>
      <c r="K52" s="21" t="n">
        <v>1</v>
      </c>
      <c r="L52" s="13" t="n">
        <f aca="false">IF(H52=1,Въвеждане!$B$17/SUM($H$5:$H$261),0)</f>
        <v>88.7096774193548</v>
      </c>
      <c r="M52" s="13" t="n">
        <f aca="false">IF(I52=1,Въвеждане!$B$8/SUM($I$5:$I$261),0)</f>
        <v>3.2520325203252</v>
      </c>
      <c r="N52" s="13" t="n">
        <f aca="false">IF(J52=1,Въвеждане!$B$9*C52/SUMPRODUCT($C$5:$C$261,$J$5:$J$261),0)</f>
        <v>11.1248869081527</v>
      </c>
      <c r="O52" s="13" t="n">
        <f aca="false">IF(K52=1,Въвеждане!$B$10*C52/SUMPRODUCT($C$5:$C$261,$K$5:$K$261),0)</f>
        <v>37.8112978335696</v>
      </c>
      <c r="P52" s="16" t="n">
        <f aca="false">SUM(L52:O52)</f>
        <v>140.897894681402</v>
      </c>
    </row>
    <row r="53" customFormat="false" ht="15" hidden="false" customHeight="false" outlineLevel="0" collapsed="false">
      <c r="A53" s="12" t="n">
        <v>49</v>
      </c>
      <c r="B53" s="12" t="s">
        <v>113</v>
      </c>
      <c r="C53" s="20" t="n">
        <v>0.151</v>
      </c>
      <c r="D53" s="12" t="s">
        <v>62</v>
      </c>
      <c r="E53" s="12" t="n">
        <v>1</v>
      </c>
      <c r="F53" s="12"/>
      <c r="H53" s="21" t="n">
        <v>1</v>
      </c>
      <c r="I53" s="21" t="n">
        <v>1</v>
      </c>
      <c r="J53" s="21" t="n">
        <v>1</v>
      </c>
      <c r="K53" s="21" t="n">
        <v>1</v>
      </c>
      <c r="L53" s="13" t="n">
        <f aca="false">IF(H53=1,Въвеждане!$B$17/SUM($H$5:$H$261),0)</f>
        <v>88.7096774193548</v>
      </c>
      <c r="M53" s="13" t="n">
        <f aca="false">IF(I53=1,Въвеждане!$B$8/SUM($I$5:$I$261),0)</f>
        <v>3.2520325203252</v>
      </c>
      <c r="N53" s="13" t="n">
        <f aca="false">IF(J53=1,Въвеждане!$B$9*C53/SUMPRODUCT($C$5:$C$261,$J$5:$J$261),0)</f>
        <v>10.1196260429581</v>
      </c>
      <c r="O53" s="13" t="n">
        <f aca="false">IF(K53=1,Въвеждане!$B$10*C53/SUMPRODUCT($C$5:$C$261,$K$5:$K$261),0)</f>
        <v>34.3946142943916</v>
      </c>
      <c r="P53" s="16" t="n">
        <f aca="false">SUM(L53:O53)</f>
        <v>136.47595027703</v>
      </c>
    </row>
    <row r="54" customFormat="false" ht="15" hidden="false" customHeight="false" outlineLevel="0" collapsed="false">
      <c r="A54" s="12" t="n">
        <v>50</v>
      </c>
      <c r="B54" s="12" t="s">
        <v>114</v>
      </c>
      <c r="C54" s="20" t="n">
        <v>0.293</v>
      </c>
      <c r="D54" s="12" t="s">
        <v>62</v>
      </c>
      <c r="E54" s="12" t="n">
        <v>1</v>
      </c>
      <c r="F54" s="12"/>
      <c r="H54" s="21" t="n">
        <v>1</v>
      </c>
      <c r="I54" s="21" t="n">
        <v>1</v>
      </c>
      <c r="J54" s="21" t="n">
        <v>1</v>
      </c>
      <c r="K54" s="21" t="n">
        <v>1</v>
      </c>
      <c r="L54" s="13" t="n">
        <f aca="false">IF(H54=1,Въвеждане!$B$17/SUM($H$5:$H$261),0)</f>
        <v>88.7096774193548</v>
      </c>
      <c r="M54" s="13" t="n">
        <f aca="false">IF(I54=1,Въвеждане!$B$8/SUM($I$5:$I$261),0)</f>
        <v>3.2520325203252</v>
      </c>
      <c r="N54" s="13" t="n">
        <f aca="false">IF(J54=1,Въвеждане!$B$9*C54/SUMPRODUCT($C$5:$C$261,$J$5:$J$261),0)</f>
        <v>19.6360955667996</v>
      </c>
      <c r="O54" s="13" t="n">
        <f aca="false">IF(K54=1,Въвеждане!$B$10*C54/SUMPRODUCT($C$5:$C$261,$K$5:$K$261),0)</f>
        <v>66.7392184652764</v>
      </c>
      <c r="P54" s="16" t="n">
        <f aca="false">SUM(L54:O54)</f>
        <v>178.337023971756</v>
      </c>
    </row>
    <row r="55" customFormat="false" ht="15" hidden="false" customHeight="false" outlineLevel="0" collapsed="false">
      <c r="A55" s="12" t="n">
        <v>51</v>
      </c>
      <c r="B55" s="12" t="s">
        <v>115</v>
      </c>
      <c r="C55" s="20" t="n">
        <v>0.146</v>
      </c>
      <c r="D55" s="12" t="s">
        <v>62</v>
      </c>
      <c r="E55" s="12" t="n">
        <v>1</v>
      </c>
      <c r="F55" s="12"/>
      <c r="H55" s="21" t="n">
        <v>1</v>
      </c>
      <c r="I55" s="21" t="n">
        <v>1</v>
      </c>
      <c r="J55" s="21" t="n">
        <v>1</v>
      </c>
      <c r="K55" s="21" t="n">
        <v>1</v>
      </c>
      <c r="L55" s="13" t="n">
        <f aca="false">IF(H55=1,Въвеждане!$B$17/SUM($H$5:$H$261),0)</f>
        <v>88.7096774193548</v>
      </c>
      <c r="M55" s="13" t="n">
        <f aca="false">IF(I55=1,Въвеждане!$B$8/SUM($I$5:$I$261),0)</f>
        <v>3.2520325203252</v>
      </c>
      <c r="N55" s="13" t="n">
        <f aca="false">IF(J55=1,Въвеждане!$B$9*C55/SUMPRODUCT($C$5:$C$261,$J$5:$J$261),0)</f>
        <v>9.78453908789331</v>
      </c>
      <c r="O55" s="13" t="n">
        <f aca="false">IF(K55=1,Въвеждане!$B$10*C55/SUMPRODUCT($C$5:$C$261,$K$5:$K$261),0)</f>
        <v>33.2557197813323</v>
      </c>
      <c r="P55" s="16" t="n">
        <f aca="false">SUM(L55:O55)</f>
        <v>135.001968808906</v>
      </c>
    </row>
    <row r="56" customFormat="false" ht="15" hidden="false" customHeight="false" outlineLevel="0" collapsed="false">
      <c r="A56" s="12" t="n">
        <v>52</v>
      </c>
      <c r="B56" s="12" t="s">
        <v>116</v>
      </c>
      <c r="C56" s="20" t="n">
        <v>0.143</v>
      </c>
      <c r="D56" s="12" t="s">
        <v>62</v>
      </c>
      <c r="E56" s="12" t="n">
        <v>1</v>
      </c>
      <c r="F56" s="12"/>
      <c r="H56" s="21" t="n">
        <v>1</v>
      </c>
      <c r="I56" s="21" t="n">
        <v>1</v>
      </c>
      <c r="J56" s="21" t="n">
        <v>1</v>
      </c>
      <c r="K56" s="21" t="n">
        <v>1</v>
      </c>
      <c r="L56" s="13" t="n">
        <f aca="false">IF(H56=1,Въвеждане!$B$17/SUM($H$5:$H$261),0)</f>
        <v>88.7096774193548</v>
      </c>
      <c r="M56" s="13" t="n">
        <f aca="false">IF(I56=1,Въвеждане!$B$8/SUM($I$5:$I$261),0)</f>
        <v>3.2520325203252</v>
      </c>
      <c r="N56" s="13" t="n">
        <f aca="false">IF(J56=1,Въвеждане!$B$9*C56/SUMPRODUCT($C$5:$C$261,$J$5:$J$261),0)</f>
        <v>9.5834869148544</v>
      </c>
      <c r="O56" s="13" t="n">
        <f aca="false">IF(K56=1,Въвеждане!$B$10*C56/SUMPRODUCT($C$5:$C$261,$K$5:$K$261),0)</f>
        <v>32.5723830734967</v>
      </c>
      <c r="P56" s="16" t="n">
        <f aca="false">SUM(L56:O56)</f>
        <v>134.117579928031</v>
      </c>
    </row>
    <row r="57" customFormat="false" ht="15" hidden="false" customHeight="false" outlineLevel="0" collapsed="false">
      <c r="A57" s="12" t="n">
        <v>53</v>
      </c>
      <c r="B57" s="12" t="s">
        <v>117</v>
      </c>
      <c r="C57" s="20" t="n">
        <v>0.152</v>
      </c>
      <c r="D57" s="12" t="s">
        <v>62</v>
      </c>
      <c r="E57" s="12" t="n">
        <v>1</v>
      </c>
      <c r="F57" s="12"/>
      <c r="H57" s="21" t="n">
        <v>1</v>
      </c>
      <c r="I57" s="21" t="n">
        <v>1</v>
      </c>
      <c r="J57" s="21" t="n">
        <v>1</v>
      </c>
      <c r="K57" s="21" t="n">
        <v>1</v>
      </c>
      <c r="L57" s="13" t="n">
        <f aca="false">IF(H57=1,Въвеждане!$B$17/SUM($H$5:$H$261),0)</f>
        <v>88.7096774193548</v>
      </c>
      <c r="M57" s="13" t="n">
        <f aca="false">IF(I57=1,Въвеждане!$B$8/SUM($I$5:$I$261),0)</f>
        <v>3.2520325203252</v>
      </c>
      <c r="N57" s="13" t="n">
        <f aca="false">IF(J57=1,Въвеждане!$B$9*C57/SUMPRODUCT($C$5:$C$261,$J$5:$J$261),0)</f>
        <v>10.1866434339711</v>
      </c>
      <c r="O57" s="13" t="n">
        <f aca="false">IF(K57=1,Въвеждане!$B$10*C57/SUMPRODUCT($C$5:$C$261,$K$5:$K$261),0)</f>
        <v>34.6223931970034</v>
      </c>
      <c r="P57" s="16" t="n">
        <f aca="false">SUM(L57:O57)</f>
        <v>136.770746570655</v>
      </c>
    </row>
    <row r="58" customFormat="false" ht="15" hidden="false" customHeight="false" outlineLevel="0" collapsed="false">
      <c r="A58" s="12" t="n">
        <v>54</v>
      </c>
      <c r="B58" s="12" t="s">
        <v>118</v>
      </c>
      <c r="C58" s="20" t="n">
        <v>0.159</v>
      </c>
      <c r="D58" s="12" t="s">
        <v>62</v>
      </c>
      <c r="E58" s="12" t="n">
        <v>1</v>
      </c>
      <c r="F58" s="12"/>
      <c r="H58" s="21" t="n">
        <v>1</v>
      </c>
      <c r="I58" s="21" t="n">
        <v>1</v>
      </c>
      <c r="J58" s="21" t="n">
        <v>1</v>
      </c>
      <c r="K58" s="21" t="n">
        <v>1</v>
      </c>
      <c r="L58" s="13" t="n">
        <f aca="false">IF(H58=1,Въвеждане!$B$17/SUM($H$5:$H$261),0)</f>
        <v>88.7096774193548</v>
      </c>
      <c r="M58" s="13" t="n">
        <f aca="false">IF(I58=1,Въвеждане!$B$8/SUM($I$5:$I$261),0)</f>
        <v>3.2520325203252</v>
      </c>
      <c r="N58" s="13" t="n">
        <f aca="false">IF(J58=1,Въвеждане!$B$9*C58/SUMPRODUCT($C$5:$C$261,$J$5:$J$261),0)</f>
        <v>10.6557651710619</v>
      </c>
      <c r="O58" s="13" t="n">
        <f aca="false">IF(K58=1,Въвеждане!$B$10*C58/SUMPRODUCT($C$5:$C$261,$K$5:$K$261),0)</f>
        <v>36.2168455152865</v>
      </c>
      <c r="P58" s="16" t="n">
        <f aca="false">SUM(L58:O58)</f>
        <v>138.834320626028</v>
      </c>
    </row>
    <row r="59" customFormat="false" ht="15" hidden="false" customHeight="false" outlineLevel="0" collapsed="false">
      <c r="A59" s="12" t="n">
        <v>55</v>
      </c>
      <c r="B59" s="12" t="s">
        <v>119</v>
      </c>
      <c r="C59" s="20" t="n">
        <v>0.149</v>
      </c>
      <c r="D59" s="12" t="s">
        <v>62</v>
      </c>
      <c r="E59" s="12" t="n">
        <v>1</v>
      </c>
      <c r="F59" s="12"/>
      <c r="H59" s="21" t="n">
        <v>1</v>
      </c>
      <c r="I59" s="21" t="n">
        <v>1</v>
      </c>
      <c r="J59" s="21" t="n">
        <v>1</v>
      </c>
      <c r="K59" s="21" t="n">
        <v>1</v>
      </c>
      <c r="L59" s="13" t="n">
        <f aca="false">IF(H59=1,Въвеждане!$B$17/SUM($H$5:$H$261),0)</f>
        <v>88.7096774193548</v>
      </c>
      <c r="M59" s="13" t="n">
        <f aca="false">IF(I59=1,Въвеждане!$B$8/SUM($I$5:$I$261),0)</f>
        <v>3.2520325203252</v>
      </c>
      <c r="N59" s="13" t="n">
        <f aca="false">IF(J59=1,Въвеждане!$B$9*C59/SUMPRODUCT($C$5:$C$261,$J$5:$J$261),0)</f>
        <v>9.98559126093221</v>
      </c>
      <c r="O59" s="13" t="n">
        <f aca="false">IF(K59=1,Въвеждане!$B$10*C59/SUMPRODUCT($C$5:$C$261,$K$5:$K$261),0)</f>
        <v>33.9390564891679</v>
      </c>
      <c r="P59" s="16" t="n">
        <f aca="false">SUM(L59:O59)</f>
        <v>135.88635768978</v>
      </c>
    </row>
    <row r="60" customFormat="false" ht="15" hidden="false" customHeight="false" outlineLevel="0" collapsed="false">
      <c r="A60" s="12" t="n">
        <v>56</v>
      </c>
      <c r="B60" s="12" t="s">
        <v>120</v>
      </c>
      <c r="C60" s="20" t="n">
        <v>0.161</v>
      </c>
      <c r="D60" s="12" t="s">
        <v>62</v>
      </c>
      <c r="E60" s="12" t="n">
        <v>1</v>
      </c>
      <c r="F60" s="12"/>
      <c r="H60" s="21" t="n">
        <v>1</v>
      </c>
      <c r="I60" s="21" t="n">
        <v>1</v>
      </c>
      <c r="J60" s="21" t="n">
        <v>1</v>
      </c>
      <c r="K60" s="21" t="n">
        <v>1</v>
      </c>
      <c r="L60" s="13" t="n">
        <f aca="false">IF(H60=1,Въвеждане!$B$17/SUM($H$5:$H$261),0)</f>
        <v>88.7096774193548</v>
      </c>
      <c r="M60" s="13" t="n">
        <f aca="false">IF(I60=1,Въвеждане!$B$8/SUM($I$5:$I$261),0)</f>
        <v>3.2520325203252</v>
      </c>
      <c r="N60" s="13" t="n">
        <f aca="false">IF(J60=1,Въвеждане!$B$9*C60/SUMPRODUCT($C$5:$C$261,$J$5:$J$261),0)</f>
        <v>10.7897999530878</v>
      </c>
      <c r="O60" s="13" t="n">
        <f aca="false">IF(K60=1,Въвеждане!$B$10*C60/SUMPRODUCT($C$5:$C$261,$K$5:$K$261),0)</f>
        <v>36.6724033205102</v>
      </c>
      <c r="P60" s="16" t="n">
        <f aca="false">SUM(L60:O60)</f>
        <v>139.423913213278</v>
      </c>
    </row>
    <row r="61" customFormat="false" ht="15" hidden="false" customHeight="false" outlineLevel="0" collapsed="false">
      <c r="A61" s="12" t="n">
        <v>57</v>
      </c>
      <c r="B61" s="12" t="s">
        <v>121</v>
      </c>
      <c r="C61" s="20" t="n">
        <v>0.166</v>
      </c>
      <c r="D61" s="12" t="s">
        <v>62</v>
      </c>
      <c r="E61" s="12" t="n">
        <v>1</v>
      </c>
      <c r="F61" s="12"/>
      <c r="H61" s="21" t="n">
        <v>1</v>
      </c>
      <c r="I61" s="21" t="n">
        <v>1</v>
      </c>
      <c r="J61" s="21" t="n">
        <v>1</v>
      </c>
      <c r="K61" s="21" t="n">
        <v>1</v>
      </c>
      <c r="L61" s="13" t="n">
        <f aca="false">IF(H61=1,Въвеждане!$B$17/SUM($H$5:$H$261),0)</f>
        <v>88.7096774193548</v>
      </c>
      <c r="M61" s="13" t="n">
        <f aca="false">IF(I61=1,Въвеждане!$B$8/SUM($I$5:$I$261),0)</f>
        <v>3.2520325203252</v>
      </c>
      <c r="N61" s="13" t="n">
        <f aca="false">IF(J61=1,Въвеждане!$B$9*C61/SUMPRODUCT($C$5:$C$261,$J$5:$J$261),0)</f>
        <v>11.1248869081527</v>
      </c>
      <c r="O61" s="13" t="n">
        <f aca="false">IF(K61=1,Въвеждане!$B$10*C61/SUMPRODUCT($C$5:$C$261,$K$5:$K$261),0)</f>
        <v>37.8112978335696</v>
      </c>
      <c r="P61" s="16" t="n">
        <f aca="false">SUM(L61:O61)</f>
        <v>140.897894681402</v>
      </c>
    </row>
    <row r="62" customFormat="false" ht="15" hidden="false" customHeight="false" outlineLevel="0" collapsed="false">
      <c r="A62" s="12" t="n">
        <v>58</v>
      </c>
      <c r="B62" s="12" t="s">
        <v>122</v>
      </c>
      <c r="C62" s="20" t="n">
        <v>0.15</v>
      </c>
      <c r="D62" s="12" t="s">
        <v>62</v>
      </c>
      <c r="E62" s="12" t="n">
        <v>1</v>
      </c>
      <c r="F62" s="12"/>
      <c r="H62" s="21" t="n">
        <v>1</v>
      </c>
      <c r="I62" s="21" t="n">
        <v>1</v>
      </c>
      <c r="J62" s="21" t="n">
        <v>1</v>
      </c>
      <c r="K62" s="21" t="n">
        <v>1</v>
      </c>
      <c r="L62" s="13" t="n">
        <f aca="false">IF(H62=1,Въвеждане!$B$17/SUM($H$5:$H$261),0)</f>
        <v>88.7096774193548</v>
      </c>
      <c r="M62" s="13" t="n">
        <f aca="false">IF(I62=1,Въвеждане!$B$8/SUM($I$5:$I$261),0)</f>
        <v>3.2520325203252</v>
      </c>
      <c r="N62" s="13" t="n">
        <f aca="false">IF(J62=1,Въвеждане!$B$9*C62/SUMPRODUCT($C$5:$C$261,$J$5:$J$261),0)</f>
        <v>10.0526086519452</v>
      </c>
      <c r="O62" s="13" t="n">
        <f aca="false">IF(K62=1,Въвеждане!$B$10*C62/SUMPRODUCT($C$5:$C$261,$K$5:$K$261),0)</f>
        <v>34.1668353917797</v>
      </c>
      <c r="P62" s="16" t="n">
        <f aca="false">SUM(L62:O62)</f>
        <v>136.181153983405</v>
      </c>
    </row>
    <row r="63" customFormat="false" ht="15" hidden="false" customHeight="false" outlineLevel="0" collapsed="false">
      <c r="A63" s="12" t="n">
        <v>59</v>
      </c>
      <c r="B63" s="12" t="s">
        <v>123</v>
      </c>
      <c r="C63" s="20" t="n">
        <v>0.251</v>
      </c>
      <c r="D63" s="12" t="s">
        <v>62</v>
      </c>
      <c r="E63" s="12" t="n">
        <v>1</v>
      </c>
      <c r="F63" s="12"/>
      <c r="H63" s="21" t="n">
        <v>1</v>
      </c>
      <c r="I63" s="21" t="n">
        <v>1</v>
      </c>
      <c r="J63" s="21" t="n">
        <v>1</v>
      </c>
      <c r="K63" s="21" t="n">
        <v>1</v>
      </c>
      <c r="L63" s="13" t="n">
        <f aca="false">IF(H63=1,Въвеждане!$B$17/SUM($H$5:$H$261),0)</f>
        <v>88.7096774193548</v>
      </c>
      <c r="M63" s="13" t="n">
        <f aca="false">IF(I63=1,Въвеждане!$B$8/SUM($I$5:$I$261),0)</f>
        <v>3.2520325203252</v>
      </c>
      <c r="N63" s="13" t="n">
        <f aca="false">IF(J63=1,Въвеждане!$B$9*C63/SUMPRODUCT($C$5:$C$261,$J$5:$J$261),0)</f>
        <v>16.8213651442549</v>
      </c>
      <c r="O63" s="13" t="n">
        <f aca="false">IF(K63=1,Въвеждане!$B$10*C63/SUMPRODUCT($C$5:$C$261,$K$5:$K$261),0)</f>
        <v>57.1725045555781</v>
      </c>
      <c r="P63" s="16" t="n">
        <f aca="false">SUM(L63:O63)</f>
        <v>165.955579639513</v>
      </c>
    </row>
    <row r="64" customFormat="false" ht="15" hidden="false" customHeight="false" outlineLevel="0" collapsed="false">
      <c r="A64" s="12" t="n">
        <v>60</v>
      </c>
      <c r="B64" s="12" t="s">
        <v>124</v>
      </c>
      <c r="C64" s="20" t="n">
        <v>0.212</v>
      </c>
      <c r="D64" s="12" t="s">
        <v>62</v>
      </c>
      <c r="E64" s="12" t="n">
        <v>1</v>
      </c>
      <c r="F64" s="12"/>
      <c r="H64" s="21" t="n">
        <v>1</v>
      </c>
      <c r="I64" s="21" t="n">
        <v>1</v>
      </c>
      <c r="J64" s="21" t="n">
        <v>1</v>
      </c>
      <c r="K64" s="21" t="n">
        <v>1</v>
      </c>
      <c r="L64" s="13" t="n">
        <f aca="false">IF(H64=1,Въвеждане!$B$17/SUM($H$5:$H$261),0)</f>
        <v>88.7096774193548</v>
      </c>
      <c r="M64" s="13" t="n">
        <f aca="false">IF(I64=1,Въвеждане!$B$8/SUM($I$5:$I$261),0)</f>
        <v>3.2520325203252</v>
      </c>
      <c r="N64" s="13" t="n">
        <f aca="false">IF(J64=1,Въвеждане!$B$9*C64/SUMPRODUCT($C$5:$C$261,$J$5:$J$261),0)</f>
        <v>14.2076868947492</v>
      </c>
      <c r="O64" s="13" t="n">
        <f aca="false">IF(K64=1,Въвеждане!$B$10*C64/SUMPRODUCT($C$5:$C$261,$K$5:$K$261),0)</f>
        <v>48.2891273537153</v>
      </c>
      <c r="P64" s="16" t="n">
        <f aca="false">SUM(L64:O64)</f>
        <v>154.458524188145</v>
      </c>
    </row>
    <row r="65" customFormat="false" ht="15" hidden="false" customHeight="false" outlineLevel="0" collapsed="false">
      <c r="A65" s="12" t="n">
        <v>61</v>
      </c>
      <c r="B65" s="12" t="s">
        <v>125</v>
      </c>
      <c r="C65" s="20" t="n">
        <v>0.152</v>
      </c>
      <c r="D65" s="12" t="s">
        <v>62</v>
      </c>
      <c r="E65" s="12" t="n">
        <v>1</v>
      </c>
      <c r="F65" s="12"/>
      <c r="H65" s="21" t="n">
        <v>1</v>
      </c>
      <c r="I65" s="21" t="n">
        <v>1</v>
      </c>
      <c r="J65" s="21" t="n">
        <v>1</v>
      </c>
      <c r="K65" s="21" t="n">
        <v>1</v>
      </c>
      <c r="L65" s="13" t="n">
        <f aca="false">IF(H65=1,Въвеждане!$B$17/SUM($H$5:$H$261),0)</f>
        <v>88.7096774193548</v>
      </c>
      <c r="M65" s="13" t="n">
        <f aca="false">IF(I65=1,Въвеждане!$B$8/SUM($I$5:$I$261),0)</f>
        <v>3.2520325203252</v>
      </c>
      <c r="N65" s="13" t="n">
        <f aca="false">IF(J65=1,Въвеждане!$B$9*C65/SUMPRODUCT($C$5:$C$261,$J$5:$J$261),0)</f>
        <v>10.1866434339711</v>
      </c>
      <c r="O65" s="13" t="n">
        <f aca="false">IF(K65=1,Въвеждане!$B$10*C65/SUMPRODUCT($C$5:$C$261,$K$5:$K$261),0)</f>
        <v>34.6223931970034</v>
      </c>
      <c r="P65" s="16" t="n">
        <f aca="false">SUM(L65:O65)</f>
        <v>136.770746570655</v>
      </c>
    </row>
    <row r="66" customFormat="false" ht="15" hidden="false" customHeight="false" outlineLevel="0" collapsed="false">
      <c r="A66" s="12" t="n">
        <v>62</v>
      </c>
      <c r="B66" s="12" t="s">
        <v>126</v>
      </c>
      <c r="C66" s="20" t="n">
        <v>0.152</v>
      </c>
      <c r="D66" s="12" t="s">
        <v>62</v>
      </c>
      <c r="E66" s="12" t="n">
        <v>1</v>
      </c>
      <c r="F66" s="12"/>
      <c r="H66" s="21" t="n">
        <v>1</v>
      </c>
      <c r="I66" s="21" t="n">
        <v>1</v>
      </c>
      <c r="J66" s="21" t="n">
        <v>1</v>
      </c>
      <c r="K66" s="21" t="n">
        <v>1</v>
      </c>
      <c r="L66" s="13" t="n">
        <f aca="false">IF(H66=1,Въвеждане!$B$17/SUM($H$5:$H$261),0)</f>
        <v>88.7096774193548</v>
      </c>
      <c r="M66" s="13" t="n">
        <f aca="false">IF(I66=1,Въвеждане!$B$8/SUM($I$5:$I$261),0)</f>
        <v>3.2520325203252</v>
      </c>
      <c r="N66" s="13" t="n">
        <f aca="false">IF(J66=1,Въвеждане!$B$9*C66/SUMPRODUCT($C$5:$C$261,$J$5:$J$261),0)</f>
        <v>10.1866434339711</v>
      </c>
      <c r="O66" s="13" t="n">
        <f aca="false">IF(K66=1,Въвеждане!$B$10*C66/SUMPRODUCT($C$5:$C$261,$K$5:$K$261),0)</f>
        <v>34.6223931970034</v>
      </c>
      <c r="P66" s="16" t="n">
        <f aca="false">SUM(L66:O66)</f>
        <v>136.770746570655</v>
      </c>
    </row>
    <row r="67" customFormat="false" ht="15" hidden="false" customHeight="false" outlineLevel="0" collapsed="false">
      <c r="A67" s="12" t="n">
        <v>63</v>
      </c>
      <c r="B67" s="12" t="s">
        <v>127</v>
      </c>
      <c r="C67" s="20" t="n">
        <v>0.1</v>
      </c>
      <c r="D67" s="12" t="s">
        <v>62</v>
      </c>
      <c r="E67" s="12" t="n">
        <v>1</v>
      </c>
      <c r="F67" s="12"/>
      <c r="H67" s="21" t="n">
        <v>1</v>
      </c>
      <c r="I67" s="21" t="n">
        <v>1</v>
      </c>
      <c r="J67" s="21" t="n">
        <v>1</v>
      </c>
      <c r="K67" s="21" t="n">
        <v>1</v>
      </c>
      <c r="L67" s="13" t="n">
        <f aca="false">IF(H67=1,Въвеждане!$B$17/SUM($H$5:$H$261),0)</f>
        <v>88.7096774193548</v>
      </c>
      <c r="M67" s="13" t="n">
        <f aca="false">IF(I67=1,Въвеждане!$B$8/SUM($I$5:$I$261),0)</f>
        <v>3.2520325203252</v>
      </c>
      <c r="N67" s="13" t="n">
        <f aca="false">IF(J67=1,Въвеждане!$B$9*C67/SUMPRODUCT($C$5:$C$261,$J$5:$J$261),0)</f>
        <v>6.70173910129679</v>
      </c>
      <c r="O67" s="13" t="n">
        <f aca="false">IF(K67=1,Въвеждане!$B$10*C67/SUMPRODUCT($C$5:$C$261,$K$5:$K$261),0)</f>
        <v>22.7778902611865</v>
      </c>
      <c r="P67" s="16" t="n">
        <f aca="false">SUM(L67:O67)</f>
        <v>121.441339302163</v>
      </c>
    </row>
    <row r="68" customFormat="false" ht="15" hidden="false" customHeight="false" outlineLevel="0" collapsed="false">
      <c r="A68" s="12" t="n">
        <v>64</v>
      </c>
      <c r="B68" s="12" t="s">
        <v>128</v>
      </c>
      <c r="C68" s="20" t="n">
        <v>0.14</v>
      </c>
      <c r="D68" s="12" t="s">
        <v>62</v>
      </c>
      <c r="E68" s="12" t="n">
        <v>1</v>
      </c>
      <c r="F68" s="12"/>
      <c r="H68" s="21" t="n">
        <v>1</v>
      </c>
      <c r="I68" s="21" t="n">
        <v>1</v>
      </c>
      <c r="J68" s="21" t="n">
        <v>1</v>
      </c>
      <c r="K68" s="21" t="n">
        <v>1</v>
      </c>
      <c r="L68" s="13" t="n">
        <f aca="false">IF(H68=1,Въвеждане!$B$17/SUM($H$5:$H$261),0)</f>
        <v>88.7096774193548</v>
      </c>
      <c r="M68" s="13" t="n">
        <f aca="false">IF(I68=1,Въвеждане!$B$8/SUM($I$5:$I$261),0)</f>
        <v>3.2520325203252</v>
      </c>
      <c r="N68" s="13" t="n">
        <f aca="false">IF(J68=1,Въвеждане!$B$9*C68/SUMPRODUCT($C$5:$C$261,$J$5:$J$261),0)</f>
        <v>9.3824347418155</v>
      </c>
      <c r="O68" s="13" t="n">
        <f aca="false">IF(K68=1,Въвеждане!$B$10*C68/SUMPRODUCT($C$5:$C$261,$K$5:$K$261),0)</f>
        <v>31.8890463656611</v>
      </c>
      <c r="P68" s="16" t="n">
        <f aca="false">SUM(L68:O68)</f>
        <v>133.233191047157</v>
      </c>
    </row>
    <row r="69" customFormat="false" ht="15" hidden="false" customHeight="false" outlineLevel="0" collapsed="false">
      <c r="A69" s="12" t="n">
        <v>65</v>
      </c>
      <c r="B69" s="12" t="s">
        <v>129</v>
      </c>
      <c r="C69" s="20" t="n">
        <v>0.148</v>
      </c>
      <c r="D69" s="12" t="s">
        <v>62</v>
      </c>
      <c r="E69" s="12" t="n">
        <v>1</v>
      </c>
      <c r="F69" s="12"/>
      <c r="H69" s="21" t="n">
        <v>1</v>
      </c>
      <c r="I69" s="21" t="n">
        <v>1</v>
      </c>
      <c r="J69" s="21" t="n">
        <v>1</v>
      </c>
      <c r="K69" s="21" t="n">
        <v>1</v>
      </c>
      <c r="L69" s="13" t="n">
        <f aca="false">IF(H69=1,Въвеждане!$B$17/SUM($H$5:$H$261),0)</f>
        <v>88.7096774193548</v>
      </c>
      <c r="M69" s="13" t="n">
        <f aca="false">IF(I69=1,Въвеждане!$B$8/SUM($I$5:$I$261),0)</f>
        <v>3.2520325203252</v>
      </c>
      <c r="N69" s="13" t="n">
        <f aca="false">IF(J69=1,Въвеждане!$B$9*C69/SUMPRODUCT($C$5:$C$261,$J$5:$J$261),0)</f>
        <v>9.91857386991925</v>
      </c>
      <c r="O69" s="13" t="n">
        <f aca="false">IF(K69=1,Въвеждане!$B$10*C69/SUMPRODUCT($C$5:$C$261,$K$5:$K$261),0)</f>
        <v>33.711277586556</v>
      </c>
      <c r="P69" s="16" t="n">
        <f aca="false">SUM(L69:O69)</f>
        <v>135.591561396155</v>
      </c>
    </row>
    <row r="70" customFormat="false" ht="15" hidden="false" customHeight="false" outlineLevel="0" collapsed="false">
      <c r="A70" s="12" t="n">
        <v>66</v>
      </c>
      <c r="B70" s="12" t="s">
        <v>130</v>
      </c>
      <c r="C70" s="20" t="n">
        <v>0.263</v>
      </c>
      <c r="D70" s="12" t="s">
        <v>62</v>
      </c>
      <c r="E70" s="12" t="n">
        <v>1</v>
      </c>
      <c r="F70" s="12"/>
      <c r="H70" s="21" t="n">
        <v>1</v>
      </c>
      <c r="I70" s="21" t="n">
        <v>1</v>
      </c>
      <c r="J70" s="21" t="n">
        <v>1</v>
      </c>
      <c r="K70" s="21" t="n">
        <v>1</v>
      </c>
      <c r="L70" s="13" t="n">
        <f aca="false">IF(H70=1,Въвеждане!$B$17/SUM($H$5:$H$261),0)</f>
        <v>88.7096774193548</v>
      </c>
      <c r="M70" s="13" t="n">
        <f aca="false">IF(I70=1,Въвеждане!$B$8/SUM($I$5:$I$261),0)</f>
        <v>3.2520325203252</v>
      </c>
      <c r="N70" s="13" t="n">
        <f aca="false">IF(J70=1,Въвеждане!$B$9*C70/SUMPRODUCT($C$5:$C$261,$J$5:$J$261),0)</f>
        <v>17.6255738364106</v>
      </c>
      <c r="O70" s="13" t="n">
        <f aca="false">IF(K70=1,Въвеждане!$B$10*C70/SUMPRODUCT($C$5:$C$261,$K$5:$K$261),0)</f>
        <v>59.9058513869204</v>
      </c>
      <c r="P70" s="16" t="n">
        <f aca="false">SUM(L70:O70)</f>
        <v>169.493135163011</v>
      </c>
    </row>
    <row r="71" customFormat="false" ht="15" hidden="false" customHeight="false" outlineLevel="0" collapsed="false">
      <c r="A71" s="12" t="n">
        <v>67</v>
      </c>
      <c r="B71" s="12" t="s">
        <v>131</v>
      </c>
      <c r="C71" s="20" t="n">
        <v>0.109</v>
      </c>
      <c r="D71" s="12" t="s">
        <v>62</v>
      </c>
      <c r="E71" s="12" t="n">
        <v>1</v>
      </c>
      <c r="F71" s="12"/>
      <c r="H71" s="21" t="n">
        <v>1</v>
      </c>
      <c r="I71" s="21" t="n">
        <v>1</v>
      </c>
      <c r="J71" s="21" t="n">
        <v>1</v>
      </c>
      <c r="K71" s="21" t="n">
        <v>1</v>
      </c>
      <c r="L71" s="13" t="n">
        <f aca="false">IF(H71=1,Въвеждане!$B$17/SUM($H$5:$H$261),0)</f>
        <v>88.7096774193548</v>
      </c>
      <c r="M71" s="13" t="n">
        <f aca="false">IF(I71=1,Въвеждане!$B$8/SUM($I$5:$I$261),0)</f>
        <v>3.2520325203252</v>
      </c>
      <c r="N71" s="13" t="n">
        <f aca="false">IF(J71=1,Въвеждане!$B$9*C71/SUMPRODUCT($C$5:$C$261,$J$5:$J$261),0)</f>
        <v>7.3048956204135</v>
      </c>
      <c r="O71" s="13" t="n">
        <f aca="false">IF(K71=1,Въвеждане!$B$10*C71/SUMPRODUCT($C$5:$C$261,$K$5:$K$261),0)</f>
        <v>24.8279003846933</v>
      </c>
      <c r="P71" s="16" t="n">
        <f aca="false">SUM(L71:O71)</f>
        <v>124.094505944787</v>
      </c>
    </row>
    <row r="72" customFormat="false" ht="15" hidden="false" customHeight="false" outlineLevel="0" collapsed="false">
      <c r="A72" s="12" t="n">
        <v>68</v>
      </c>
      <c r="B72" s="12" t="s">
        <v>132</v>
      </c>
      <c r="C72" s="20" t="n">
        <v>0.13</v>
      </c>
      <c r="D72" s="12" t="s">
        <v>62</v>
      </c>
      <c r="E72" s="12" t="n">
        <v>1</v>
      </c>
      <c r="F72" s="12"/>
      <c r="H72" s="21" t="n">
        <v>1</v>
      </c>
      <c r="I72" s="21" t="n">
        <v>1</v>
      </c>
      <c r="J72" s="21" t="n">
        <v>1</v>
      </c>
      <c r="K72" s="21" t="n">
        <v>1</v>
      </c>
      <c r="L72" s="13" t="n">
        <f aca="false">IF(H72=1,Въвеждане!$B$17/SUM($H$5:$H$261),0)</f>
        <v>88.7096774193548</v>
      </c>
      <c r="M72" s="13" t="n">
        <f aca="false">IF(I72=1,Въвеждане!$B$8/SUM($I$5:$I$261),0)</f>
        <v>3.2520325203252</v>
      </c>
      <c r="N72" s="13" t="n">
        <f aca="false">IF(J72=1,Въвеждане!$B$9*C72/SUMPRODUCT($C$5:$C$261,$J$5:$J$261),0)</f>
        <v>8.71226083168582</v>
      </c>
      <c r="O72" s="13" t="n">
        <f aca="false">IF(K72=1,Въвеждане!$B$10*C72/SUMPRODUCT($C$5:$C$261,$K$5:$K$261),0)</f>
        <v>29.6112573395424</v>
      </c>
      <c r="P72" s="16" t="n">
        <f aca="false">SUM(L72:O72)</f>
        <v>130.285228110908</v>
      </c>
    </row>
    <row r="73" customFormat="false" ht="15" hidden="false" customHeight="false" outlineLevel="0" collapsed="false">
      <c r="A73" s="12" t="n">
        <v>69</v>
      </c>
      <c r="B73" s="12" t="s">
        <v>133</v>
      </c>
      <c r="C73" s="20" t="n">
        <v>0.131</v>
      </c>
      <c r="D73" s="12" t="s">
        <v>62</v>
      </c>
      <c r="E73" s="12" t="n">
        <v>1</v>
      </c>
      <c r="F73" s="12"/>
      <c r="H73" s="21" t="n">
        <v>1</v>
      </c>
      <c r="I73" s="21" t="n">
        <v>1</v>
      </c>
      <c r="J73" s="21" t="n">
        <v>1</v>
      </c>
      <c r="K73" s="21" t="n">
        <v>1</v>
      </c>
      <c r="L73" s="13" t="n">
        <f aca="false">IF(H73=1,Въвеждане!$B$17/SUM($H$5:$H$261),0)</f>
        <v>88.7096774193548</v>
      </c>
      <c r="M73" s="13" t="n">
        <f aca="false">IF(I73=1,Въвеждане!$B$8/SUM($I$5:$I$261),0)</f>
        <v>3.2520325203252</v>
      </c>
      <c r="N73" s="13" t="n">
        <f aca="false">IF(J73=1,Въвеждане!$B$9*C73/SUMPRODUCT($C$5:$C$261,$J$5:$J$261),0)</f>
        <v>8.77927822269879</v>
      </c>
      <c r="O73" s="13" t="n">
        <f aca="false">IF(K73=1,Въвеждане!$B$10*C73/SUMPRODUCT($C$5:$C$261,$K$5:$K$261),0)</f>
        <v>29.8390362421543</v>
      </c>
      <c r="P73" s="16" t="n">
        <f aca="false">SUM(L73:O73)</f>
        <v>130.580024404533</v>
      </c>
    </row>
    <row r="74" customFormat="false" ht="15" hidden="false" customHeight="false" outlineLevel="0" collapsed="false">
      <c r="A74" s="12" t="n">
        <v>70</v>
      </c>
      <c r="B74" s="12" t="s">
        <v>134</v>
      </c>
      <c r="C74" s="20" t="n">
        <v>0.16</v>
      </c>
      <c r="D74" s="12" t="s">
        <v>62</v>
      </c>
      <c r="E74" s="12" t="n">
        <v>1</v>
      </c>
      <c r="F74" s="12"/>
      <c r="H74" s="21" t="n">
        <v>1</v>
      </c>
      <c r="I74" s="21" t="n">
        <v>1</v>
      </c>
      <c r="J74" s="21" t="n">
        <v>1</v>
      </c>
      <c r="K74" s="21" t="n">
        <v>1</v>
      </c>
      <c r="L74" s="13" t="n">
        <f aca="false">IF(H74=1,Въвеждане!$B$17/SUM($H$5:$H$261),0)</f>
        <v>88.7096774193548</v>
      </c>
      <c r="M74" s="13" t="n">
        <f aca="false">IF(I74=1,Въвеждане!$B$8/SUM($I$5:$I$261),0)</f>
        <v>3.2520325203252</v>
      </c>
      <c r="N74" s="13" t="n">
        <f aca="false">IF(J74=1,Въвеждане!$B$9*C74/SUMPRODUCT($C$5:$C$261,$J$5:$J$261),0)</f>
        <v>10.7227825620749</v>
      </c>
      <c r="O74" s="13" t="n">
        <f aca="false">IF(K74=1,Въвеждане!$B$10*C74/SUMPRODUCT($C$5:$C$261,$K$5:$K$261),0)</f>
        <v>36.4446244178984</v>
      </c>
      <c r="P74" s="16" t="n">
        <f aca="false">SUM(L74:O74)</f>
        <v>139.129116919653</v>
      </c>
    </row>
    <row r="75" customFormat="false" ht="15" hidden="false" customHeight="false" outlineLevel="0" collapsed="false">
      <c r="A75" s="12" t="n">
        <v>71</v>
      </c>
      <c r="B75" s="12" t="s">
        <v>135</v>
      </c>
      <c r="C75" s="20" t="n">
        <v>0.172</v>
      </c>
      <c r="D75" s="12" t="s">
        <v>62</v>
      </c>
      <c r="E75" s="12" t="n">
        <v>1</v>
      </c>
      <c r="F75" s="12"/>
      <c r="H75" s="21" t="n">
        <v>1</v>
      </c>
      <c r="I75" s="21" t="n">
        <v>1</v>
      </c>
      <c r="J75" s="21" t="n">
        <v>1</v>
      </c>
      <c r="K75" s="21" t="n">
        <v>1</v>
      </c>
      <c r="L75" s="13" t="n">
        <f aca="false">IF(H75=1,Въвеждане!$B$17/SUM($H$5:$H$261),0)</f>
        <v>88.7096774193548</v>
      </c>
      <c r="M75" s="13" t="n">
        <f aca="false">IF(I75=1,Въвеждане!$B$8/SUM($I$5:$I$261),0)</f>
        <v>3.2520325203252</v>
      </c>
      <c r="N75" s="13" t="n">
        <f aca="false">IF(J75=1,Въвеждане!$B$9*C75/SUMPRODUCT($C$5:$C$261,$J$5:$J$261),0)</f>
        <v>11.5269912542305</v>
      </c>
      <c r="O75" s="13" t="n">
        <f aca="false">IF(K75=1,Въвеждане!$B$10*C75/SUMPRODUCT($C$5:$C$261,$K$5:$K$261),0)</f>
        <v>39.1779712492407</v>
      </c>
      <c r="P75" s="16" t="n">
        <f aca="false">SUM(L75:O75)</f>
        <v>142.666672443151</v>
      </c>
    </row>
    <row r="76" customFormat="false" ht="15" hidden="false" customHeight="false" outlineLevel="0" collapsed="false">
      <c r="A76" s="12" t="n">
        <v>72</v>
      </c>
      <c r="B76" s="12" t="s">
        <v>136</v>
      </c>
      <c r="C76" s="20" t="n">
        <v>0.172</v>
      </c>
      <c r="D76" s="12" t="s">
        <v>62</v>
      </c>
      <c r="E76" s="12" t="n">
        <v>1</v>
      </c>
      <c r="F76" s="12"/>
      <c r="H76" s="21" t="n">
        <v>1</v>
      </c>
      <c r="I76" s="21" t="n">
        <v>1</v>
      </c>
      <c r="J76" s="21" t="n">
        <v>1</v>
      </c>
      <c r="K76" s="21" t="n">
        <v>1</v>
      </c>
      <c r="L76" s="13" t="n">
        <f aca="false">IF(H76=1,Въвеждане!$B$17/SUM($H$5:$H$261),0)</f>
        <v>88.7096774193548</v>
      </c>
      <c r="M76" s="13" t="n">
        <f aca="false">IF(I76=1,Въвеждане!$B$8/SUM($I$5:$I$261),0)</f>
        <v>3.2520325203252</v>
      </c>
      <c r="N76" s="13" t="n">
        <f aca="false">IF(J76=1,Въвеждане!$B$9*C76/SUMPRODUCT($C$5:$C$261,$J$5:$J$261),0)</f>
        <v>11.5269912542305</v>
      </c>
      <c r="O76" s="13" t="n">
        <f aca="false">IF(K76=1,Въвеждане!$B$10*C76/SUMPRODUCT($C$5:$C$261,$K$5:$K$261),0)</f>
        <v>39.1779712492407</v>
      </c>
      <c r="P76" s="16" t="n">
        <f aca="false">SUM(L76:O76)</f>
        <v>142.666672443151</v>
      </c>
    </row>
    <row r="77" customFormat="false" ht="15" hidden="false" customHeight="false" outlineLevel="0" collapsed="false">
      <c r="A77" s="12" t="n">
        <v>73</v>
      </c>
      <c r="B77" s="12" t="s">
        <v>137</v>
      </c>
      <c r="C77" s="20" t="n">
        <v>0.122</v>
      </c>
      <c r="D77" s="12" t="s">
        <v>62</v>
      </c>
      <c r="E77" s="12" t="n">
        <v>1</v>
      </c>
      <c r="F77" s="12"/>
      <c r="H77" s="21" t="n">
        <v>1</v>
      </c>
      <c r="I77" s="21" t="n">
        <v>1</v>
      </c>
      <c r="J77" s="21" t="n">
        <v>1</v>
      </c>
      <c r="K77" s="21" t="n">
        <v>1</v>
      </c>
      <c r="L77" s="13" t="n">
        <f aca="false">IF(H77=1,Въвеждане!$B$17/SUM($H$5:$H$261),0)</f>
        <v>88.7096774193548</v>
      </c>
      <c r="M77" s="13" t="n">
        <f aca="false">IF(I77=1,Въвеждане!$B$8/SUM($I$5:$I$261),0)</f>
        <v>3.2520325203252</v>
      </c>
      <c r="N77" s="13" t="n">
        <f aca="false">IF(J77=1,Въвеждане!$B$9*C77/SUMPRODUCT($C$5:$C$261,$J$5:$J$261),0)</f>
        <v>8.17612170358208</v>
      </c>
      <c r="O77" s="13" t="n">
        <f aca="false">IF(K77=1,Въвеждане!$B$10*C77/SUMPRODUCT($C$5:$C$261,$K$5:$K$261),0)</f>
        <v>27.7890261186475</v>
      </c>
      <c r="P77" s="16" t="n">
        <f aca="false">SUM(L77:O77)</f>
        <v>127.92685776191</v>
      </c>
    </row>
    <row r="78" customFormat="false" ht="15" hidden="false" customHeight="false" outlineLevel="0" collapsed="false">
      <c r="A78" s="12" t="n">
        <v>74</v>
      </c>
      <c r="B78" s="12" t="s">
        <v>138</v>
      </c>
      <c r="C78" s="20" t="n">
        <v>0.125</v>
      </c>
      <c r="D78" s="12" t="s">
        <v>62</v>
      </c>
      <c r="E78" s="12" t="n">
        <v>1</v>
      </c>
      <c r="F78" s="12"/>
      <c r="H78" s="21" t="n">
        <v>1</v>
      </c>
      <c r="I78" s="21" t="n">
        <v>1</v>
      </c>
      <c r="J78" s="21" t="n">
        <v>1</v>
      </c>
      <c r="K78" s="21" t="n">
        <v>1</v>
      </c>
      <c r="L78" s="13" t="n">
        <f aca="false">IF(H78=1,Въвеждане!$B$17/SUM($H$5:$H$261),0)</f>
        <v>88.7096774193548</v>
      </c>
      <c r="M78" s="13" t="n">
        <f aca="false">IF(I78=1,Въвеждане!$B$8/SUM($I$5:$I$261),0)</f>
        <v>3.2520325203252</v>
      </c>
      <c r="N78" s="13" t="n">
        <f aca="false">IF(J78=1,Въвеждане!$B$9*C78/SUMPRODUCT($C$5:$C$261,$J$5:$J$261),0)</f>
        <v>8.37717387662098</v>
      </c>
      <c r="O78" s="13" t="n">
        <f aca="false">IF(K78=1,Въвеждане!$B$10*C78/SUMPRODUCT($C$5:$C$261,$K$5:$K$261),0)</f>
        <v>28.4723628264831</v>
      </c>
      <c r="P78" s="16" t="n">
        <f aca="false">SUM(L78:O78)</f>
        <v>128.811246642784</v>
      </c>
    </row>
    <row r="79" customFormat="false" ht="15" hidden="false" customHeight="false" outlineLevel="0" collapsed="false">
      <c r="A79" s="12" t="n">
        <v>75</v>
      </c>
      <c r="B79" s="12" t="s">
        <v>139</v>
      </c>
      <c r="C79" s="20" t="n">
        <v>0.323</v>
      </c>
      <c r="D79" s="12" t="s">
        <v>62</v>
      </c>
      <c r="E79" s="12" t="n">
        <v>1</v>
      </c>
      <c r="F79" s="12"/>
      <c r="H79" s="21" t="n">
        <v>1</v>
      </c>
      <c r="I79" s="21" t="n">
        <v>1</v>
      </c>
      <c r="J79" s="21" t="n">
        <v>1</v>
      </c>
      <c r="K79" s="21" t="n">
        <v>1</v>
      </c>
      <c r="L79" s="13" t="n">
        <f aca="false">IF(H79=1,Въвеждане!$B$17/SUM($H$5:$H$261),0)</f>
        <v>88.7096774193548</v>
      </c>
      <c r="M79" s="13" t="n">
        <f aca="false">IF(I79=1,Въвеждане!$B$8/SUM($I$5:$I$261),0)</f>
        <v>3.2520325203252</v>
      </c>
      <c r="N79" s="13" t="n">
        <f aca="false">IF(J79=1,Въвеждане!$B$9*C79/SUMPRODUCT($C$5:$C$261,$J$5:$J$261),0)</f>
        <v>21.6466172971886</v>
      </c>
      <c r="O79" s="13" t="n">
        <f aca="false">IF(K79=1,Въвеждане!$B$10*C79/SUMPRODUCT($C$5:$C$261,$K$5:$K$261),0)</f>
        <v>73.5725855436323</v>
      </c>
      <c r="P79" s="16" t="n">
        <f aca="false">SUM(L79:O79)</f>
        <v>187.180912780501</v>
      </c>
    </row>
    <row r="80" customFormat="false" ht="15" hidden="false" customHeight="false" outlineLevel="0" collapsed="false">
      <c r="A80" s="12" t="n">
        <v>76</v>
      </c>
      <c r="B80" s="12" t="s">
        <v>140</v>
      </c>
      <c r="C80" s="20" t="n">
        <v>0</v>
      </c>
      <c r="D80" s="12" t="s">
        <v>62</v>
      </c>
      <c r="E80" s="12" t="n">
        <v>1</v>
      </c>
      <c r="F80" s="22" t="s">
        <v>141</v>
      </c>
      <c r="H80" s="21" t="n">
        <v>1</v>
      </c>
      <c r="I80" s="21" t="n">
        <v>1</v>
      </c>
      <c r="J80" s="21" t="n">
        <v>1</v>
      </c>
      <c r="K80" s="21" t="n">
        <v>1</v>
      </c>
      <c r="L80" s="13" t="n">
        <f aca="false">IF(H80=1,Въвеждане!$B$17/SUM($H$5:$H$261),0)</f>
        <v>88.7096774193548</v>
      </c>
      <c r="M80" s="13" t="n">
        <f aca="false">IF(I80=1,Въвеждане!$B$8/SUM($I$5:$I$261),0)</f>
        <v>3.2520325203252</v>
      </c>
      <c r="N80" s="13" t="n">
        <f aca="false">IF(J80=1,Въвеждане!$B$9*C80/SUMPRODUCT($C$5:$C$261,$J$5:$J$261),0)</f>
        <v>0</v>
      </c>
      <c r="O80" s="13" t="n">
        <f aca="false">IF(K80=1,Въвеждане!$B$10*C80/SUMPRODUCT($C$5:$C$261,$K$5:$K$261),0)</f>
        <v>0</v>
      </c>
      <c r="P80" s="16" t="n">
        <f aca="false">SUM(L80:O80)</f>
        <v>91.96170993968</v>
      </c>
    </row>
    <row r="81" customFormat="false" ht="15" hidden="false" customHeight="false" outlineLevel="0" collapsed="false">
      <c r="A81" s="12" t="n">
        <v>77</v>
      </c>
      <c r="B81" s="12" t="s">
        <v>142</v>
      </c>
      <c r="C81" s="20" t="n">
        <v>0</v>
      </c>
      <c r="D81" s="12" t="s">
        <v>62</v>
      </c>
      <c r="E81" s="12" t="n">
        <v>1</v>
      </c>
      <c r="F81" s="22" t="s">
        <v>141</v>
      </c>
      <c r="H81" s="21" t="n">
        <v>1</v>
      </c>
      <c r="I81" s="21" t="n">
        <v>1</v>
      </c>
      <c r="J81" s="21" t="n">
        <v>1</v>
      </c>
      <c r="K81" s="21" t="n">
        <v>1</v>
      </c>
      <c r="L81" s="13" t="n">
        <f aca="false">IF(H81=1,Въвеждане!$B$17/SUM($H$5:$H$261),0)</f>
        <v>88.7096774193548</v>
      </c>
      <c r="M81" s="13" t="n">
        <f aca="false">IF(I81=1,Въвеждане!$B$8/SUM($I$5:$I$261),0)</f>
        <v>3.2520325203252</v>
      </c>
      <c r="N81" s="13" t="n">
        <f aca="false">IF(J81=1,Въвеждане!$B$9*C81/SUMPRODUCT($C$5:$C$261,$J$5:$J$261),0)</f>
        <v>0</v>
      </c>
      <c r="O81" s="13" t="n">
        <f aca="false">IF(K81=1,Въвеждане!$B$10*C81/SUMPRODUCT($C$5:$C$261,$K$5:$K$261),0)</f>
        <v>0</v>
      </c>
      <c r="P81" s="16" t="n">
        <f aca="false">SUM(L81:O81)</f>
        <v>91.96170993968</v>
      </c>
    </row>
    <row r="82" customFormat="false" ht="15" hidden="false" customHeight="false" outlineLevel="0" collapsed="false">
      <c r="A82" s="12" t="n">
        <v>78</v>
      </c>
      <c r="B82" s="12" t="s">
        <v>143</v>
      </c>
      <c r="C82" s="20" t="n">
        <v>0.17</v>
      </c>
      <c r="D82" s="12" t="s">
        <v>62</v>
      </c>
      <c r="E82" s="12" t="n">
        <v>2</v>
      </c>
      <c r="F82" s="12"/>
      <c r="H82" s="21" t="n">
        <v>1</v>
      </c>
      <c r="I82" s="21" t="n">
        <v>1</v>
      </c>
      <c r="J82" s="21" t="n">
        <v>1</v>
      </c>
      <c r="K82" s="21" t="n">
        <v>1</v>
      </c>
      <c r="L82" s="13" t="n">
        <f aca="false">IF(H82=1,Въвеждане!$B$17/SUM($H$5:$H$261),0)</f>
        <v>88.7096774193548</v>
      </c>
      <c r="M82" s="13" t="n">
        <f aca="false">IF(I82=1,Въвеждане!$B$8/SUM($I$5:$I$261),0)</f>
        <v>3.2520325203252</v>
      </c>
      <c r="N82" s="13" t="n">
        <f aca="false">IF(J82=1,Въвеждане!$B$9*C82/SUMPRODUCT($C$5:$C$261,$J$5:$J$261),0)</f>
        <v>11.3929564722045</v>
      </c>
      <c r="O82" s="13" t="n">
        <f aca="false">IF(K82=1,Въвеждане!$B$10*C82/SUMPRODUCT($C$5:$C$261,$K$5:$K$261),0)</f>
        <v>38.722413444017</v>
      </c>
      <c r="P82" s="16" t="n">
        <f aca="false">SUM(L82:O82)</f>
        <v>142.077079855902</v>
      </c>
    </row>
    <row r="83" customFormat="false" ht="15" hidden="false" customHeight="false" outlineLevel="0" collapsed="false">
      <c r="A83" s="12" t="n">
        <v>79</v>
      </c>
      <c r="B83" s="12" t="s">
        <v>144</v>
      </c>
      <c r="C83" s="20" t="n">
        <v>0.165</v>
      </c>
      <c r="D83" s="12" t="s">
        <v>62</v>
      </c>
      <c r="E83" s="12" t="n">
        <v>2</v>
      </c>
      <c r="F83" s="12"/>
      <c r="H83" s="21" t="n">
        <v>1</v>
      </c>
      <c r="I83" s="21" t="n">
        <v>1</v>
      </c>
      <c r="J83" s="21" t="n">
        <v>1</v>
      </c>
      <c r="K83" s="21" t="n">
        <v>1</v>
      </c>
      <c r="L83" s="13" t="n">
        <f aca="false">IF(H83=1,Въвеждане!$B$17/SUM($H$5:$H$261),0)</f>
        <v>88.7096774193548</v>
      </c>
      <c r="M83" s="13" t="n">
        <f aca="false">IF(I83=1,Въвеждане!$B$8/SUM($I$5:$I$261),0)</f>
        <v>3.2520325203252</v>
      </c>
      <c r="N83" s="13" t="n">
        <f aca="false">IF(J83=1,Въвеждане!$B$9*C83/SUMPRODUCT($C$5:$C$261,$J$5:$J$261),0)</f>
        <v>11.0578695171397</v>
      </c>
      <c r="O83" s="13" t="n">
        <f aca="false">IF(K83=1,Въвеждане!$B$10*C83/SUMPRODUCT($C$5:$C$261,$K$5:$K$261),0)</f>
        <v>37.5835189309577</v>
      </c>
      <c r="P83" s="16" t="n">
        <f aca="false">SUM(L83:O83)</f>
        <v>140.603098387777</v>
      </c>
    </row>
    <row r="84" customFormat="false" ht="15" hidden="false" customHeight="false" outlineLevel="0" collapsed="false">
      <c r="A84" s="12" t="n">
        <v>80</v>
      </c>
      <c r="B84" s="12" t="s">
        <v>145</v>
      </c>
      <c r="C84" s="20" t="n">
        <v>0.171</v>
      </c>
      <c r="D84" s="12" t="s">
        <v>62</v>
      </c>
      <c r="E84" s="12" t="n">
        <v>2</v>
      </c>
      <c r="F84" s="12"/>
      <c r="H84" s="21" t="n">
        <v>1</v>
      </c>
      <c r="I84" s="21" t="n">
        <v>1</v>
      </c>
      <c r="J84" s="21" t="n">
        <v>1</v>
      </c>
      <c r="K84" s="21" t="n">
        <v>1</v>
      </c>
      <c r="L84" s="13" t="n">
        <f aca="false">IF(H84=1,Въвеждане!$B$17/SUM($H$5:$H$261),0)</f>
        <v>88.7096774193548</v>
      </c>
      <c r="M84" s="13" t="n">
        <f aca="false">IF(I84=1,Въвеждане!$B$8/SUM($I$5:$I$261),0)</f>
        <v>3.2520325203252</v>
      </c>
      <c r="N84" s="13" t="n">
        <f aca="false">IF(J84=1,Въвеждане!$B$9*C84/SUMPRODUCT($C$5:$C$261,$J$5:$J$261),0)</f>
        <v>11.4599738632175</v>
      </c>
      <c r="O84" s="13" t="n">
        <f aca="false">IF(K84=1,Въвеждане!$B$10*C84/SUMPRODUCT($C$5:$C$261,$K$5:$K$261),0)</f>
        <v>38.9501923466289</v>
      </c>
      <c r="P84" s="16" t="n">
        <f aca="false">SUM(L84:O84)</f>
        <v>142.371876149526</v>
      </c>
    </row>
    <row r="85" customFormat="false" ht="15" hidden="false" customHeight="false" outlineLevel="0" collapsed="false">
      <c r="A85" s="12" t="n">
        <v>81</v>
      </c>
      <c r="B85" s="12" t="s">
        <v>146</v>
      </c>
      <c r="C85" s="20" t="n">
        <v>0.171</v>
      </c>
      <c r="D85" s="12" t="s">
        <v>62</v>
      </c>
      <c r="E85" s="12" t="n">
        <v>2</v>
      </c>
      <c r="F85" s="12"/>
      <c r="H85" s="21" t="n">
        <v>1</v>
      </c>
      <c r="I85" s="21" t="n">
        <v>1</v>
      </c>
      <c r="J85" s="21" t="n">
        <v>1</v>
      </c>
      <c r="K85" s="21" t="n">
        <v>1</v>
      </c>
      <c r="L85" s="13" t="n">
        <f aca="false">IF(H85=1,Въвеждане!$B$17/SUM($H$5:$H$261),0)</f>
        <v>88.7096774193548</v>
      </c>
      <c r="M85" s="13" t="n">
        <f aca="false">IF(I85=1,Въвеждане!$B$8/SUM($I$5:$I$261),0)</f>
        <v>3.2520325203252</v>
      </c>
      <c r="N85" s="13" t="n">
        <f aca="false">IF(J85=1,Въвеждане!$B$9*C85/SUMPRODUCT($C$5:$C$261,$J$5:$J$261),0)</f>
        <v>11.4599738632175</v>
      </c>
      <c r="O85" s="13" t="n">
        <f aca="false">IF(K85=1,Въвеждане!$B$10*C85/SUMPRODUCT($C$5:$C$261,$K$5:$K$261),0)</f>
        <v>38.9501923466289</v>
      </c>
      <c r="P85" s="16" t="n">
        <f aca="false">SUM(L85:O85)</f>
        <v>142.371876149526</v>
      </c>
    </row>
    <row r="86" customFormat="false" ht="15" hidden="false" customHeight="false" outlineLevel="0" collapsed="false">
      <c r="A86" s="12" t="n">
        <v>82</v>
      </c>
      <c r="B86" s="12" t="s">
        <v>147</v>
      </c>
      <c r="C86" s="20" t="n">
        <v>0.165</v>
      </c>
      <c r="D86" s="12" t="s">
        <v>62</v>
      </c>
      <c r="E86" s="12" t="n">
        <v>2</v>
      </c>
      <c r="F86" s="12"/>
      <c r="H86" s="21" t="n">
        <v>1</v>
      </c>
      <c r="I86" s="21" t="n">
        <v>1</v>
      </c>
      <c r="J86" s="21" t="n">
        <v>1</v>
      </c>
      <c r="K86" s="21" t="n">
        <v>1</v>
      </c>
      <c r="L86" s="13" t="n">
        <f aca="false">IF(H86=1,Въвеждане!$B$17/SUM($H$5:$H$261),0)</f>
        <v>88.7096774193548</v>
      </c>
      <c r="M86" s="13" t="n">
        <f aca="false">IF(I86=1,Въвеждане!$B$8/SUM($I$5:$I$261),0)</f>
        <v>3.2520325203252</v>
      </c>
      <c r="N86" s="13" t="n">
        <f aca="false">IF(J86=1,Въвеждане!$B$9*C86/SUMPRODUCT($C$5:$C$261,$J$5:$J$261),0)</f>
        <v>11.0578695171397</v>
      </c>
      <c r="O86" s="13" t="n">
        <f aca="false">IF(K86=1,Въвеждане!$B$10*C86/SUMPRODUCT($C$5:$C$261,$K$5:$K$261),0)</f>
        <v>37.5835189309577</v>
      </c>
      <c r="P86" s="16" t="n">
        <f aca="false">SUM(L86:O86)</f>
        <v>140.603098387777</v>
      </c>
    </row>
    <row r="87" customFormat="false" ht="15" hidden="false" customHeight="false" outlineLevel="0" collapsed="false">
      <c r="A87" s="12" t="n">
        <v>83</v>
      </c>
      <c r="B87" s="12" t="s">
        <v>148</v>
      </c>
      <c r="C87" s="20" t="n">
        <v>0.18</v>
      </c>
      <c r="D87" s="12" t="s">
        <v>62</v>
      </c>
      <c r="E87" s="12" t="n">
        <v>2</v>
      </c>
      <c r="F87" s="12"/>
      <c r="H87" s="21" t="n">
        <v>1</v>
      </c>
      <c r="I87" s="21" t="n">
        <v>1</v>
      </c>
      <c r="J87" s="21" t="n">
        <v>1</v>
      </c>
      <c r="K87" s="21" t="n">
        <v>1</v>
      </c>
      <c r="L87" s="13" t="n">
        <f aca="false">IF(H87=1,Въвеждане!$B$17/SUM($H$5:$H$261),0)</f>
        <v>88.7096774193548</v>
      </c>
      <c r="M87" s="13" t="n">
        <f aca="false">IF(I87=1,Въвеждане!$B$8/SUM($I$5:$I$261),0)</f>
        <v>3.2520325203252</v>
      </c>
      <c r="N87" s="13" t="n">
        <f aca="false">IF(J87=1,Въвеждане!$B$9*C87/SUMPRODUCT($C$5:$C$261,$J$5:$J$261),0)</f>
        <v>12.0631303823342</v>
      </c>
      <c r="O87" s="13" t="n">
        <f aca="false">IF(K87=1,Въвеждане!$B$10*C87/SUMPRODUCT($C$5:$C$261,$K$5:$K$261),0)</f>
        <v>41.0002024701357</v>
      </c>
      <c r="P87" s="16" t="n">
        <f aca="false">SUM(L87:O87)</f>
        <v>145.02504279215</v>
      </c>
    </row>
    <row r="88" customFormat="false" ht="15" hidden="false" customHeight="false" outlineLevel="0" collapsed="false">
      <c r="A88" s="12" t="n">
        <v>84</v>
      </c>
      <c r="B88" s="12" t="s">
        <v>149</v>
      </c>
      <c r="C88" s="20" t="n">
        <v>0.178</v>
      </c>
      <c r="D88" s="12" t="s">
        <v>62</v>
      </c>
      <c r="E88" s="12" t="n">
        <v>2</v>
      </c>
      <c r="F88" s="12"/>
      <c r="H88" s="21" t="n">
        <v>1</v>
      </c>
      <c r="I88" s="21" t="n">
        <v>1</v>
      </c>
      <c r="J88" s="21" t="n">
        <v>1</v>
      </c>
      <c r="K88" s="21" t="n">
        <v>1</v>
      </c>
      <c r="L88" s="13" t="n">
        <f aca="false">IF(H88=1,Въвеждане!$B$17/SUM($H$5:$H$261),0)</f>
        <v>88.7096774193548</v>
      </c>
      <c r="M88" s="13" t="n">
        <f aca="false">IF(I88=1,Въвеждане!$B$8/SUM($I$5:$I$261),0)</f>
        <v>3.2520325203252</v>
      </c>
      <c r="N88" s="13" t="n">
        <f aca="false">IF(J88=1,Въвеждане!$B$9*C88/SUMPRODUCT($C$5:$C$261,$J$5:$J$261),0)</f>
        <v>11.9290956003083</v>
      </c>
      <c r="O88" s="13" t="n">
        <f aca="false">IF(K88=1,Въвеждане!$B$10*C88/SUMPRODUCT($C$5:$C$261,$K$5:$K$261),0)</f>
        <v>40.5446446649119</v>
      </c>
      <c r="P88" s="16" t="n">
        <f aca="false">SUM(L88:O88)</f>
        <v>144.4354502049</v>
      </c>
    </row>
    <row r="89" customFormat="false" ht="15" hidden="false" customHeight="false" outlineLevel="0" collapsed="false">
      <c r="A89" s="12" t="n">
        <v>85</v>
      </c>
      <c r="B89" s="12" t="s">
        <v>150</v>
      </c>
      <c r="C89" s="20" t="n">
        <v>0.163</v>
      </c>
      <c r="D89" s="12" t="s">
        <v>62</v>
      </c>
      <c r="E89" s="12" t="n">
        <v>2</v>
      </c>
      <c r="F89" s="12"/>
      <c r="H89" s="21" t="n">
        <v>1</v>
      </c>
      <c r="I89" s="21" t="n">
        <v>1</v>
      </c>
      <c r="J89" s="21" t="n">
        <v>1</v>
      </c>
      <c r="K89" s="21" t="n">
        <v>1</v>
      </c>
      <c r="L89" s="13" t="n">
        <f aca="false">IF(H89=1,Въвеждане!$B$17/SUM($H$5:$H$261),0)</f>
        <v>88.7096774193548</v>
      </c>
      <c r="M89" s="13" t="n">
        <f aca="false">IF(I89=1,Въвеждане!$B$8/SUM($I$5:$I$261),0)</f>
        <v>3.2520325203252</v>
      </c>
      <c r="N89" s="13" t="n">
        <f aca="false">IF(J89=1,Въвеждане!$B$9*C89/SUMPRODUCT($C$5:$C$261,$J$5:$J$261),0)</f>
        <v>10.9238347351138</v>
      </c>
      <c r="O89" s="13" t="n">
        <f aca="false">IF(K89=1,Въвеждане!$B$10*C89/SUMPRODUCT($C$5:$C$261,$K$5:$K$261),0)</f>
        <v>37.127961125734</v>
      </c>
      <c r="P89" s="16" t="n">
        <f aca="false">SUM(L89:O89)</f>
        <v>140.013505800528</v>
      </c>
    </row>
    <row r="90" customFormat="false" ht="15" hidden="false" customHeight="false" outlineLevel="0" collapsed="false">
      <c r="A90" s="12" t="n">
        <v>86</v>
      </c>
      <c r="B90" s="12" t="s">
        <v>151</v>
      </c>
      <c r="C90" s="20" t="n">
        <v>0.174</v>
      </c>
      <c r="D90" s="12" t="s">
        <v>62</v>
      </c>
      <c r="E90" s="12" t="n">
        <v>2</v>
      </c>
      <c r="F90" s="12"/>
      <c r="H90" s="21" t="n">
        <v>1</v>
      </c>
      <c r="I90" s="21" t="n">
        <v>1</v>
      </c>
      <c r="J90" s="21" t="n">
        <v>1</v>
      </c>
      <c r="K90" s="21" t="n">
        <v>1</v>
      </c>
      <c r="L90" s="13" t="n">
        <f aca="false">IF(H90=1,Въвеждане!$B$17/SUM($H$5:$H$261),0)</f>
        <v>88.7096774193548</v>
      </c>
      <c r="M90" s="13" t="n">
        <f aca="false">IF(I90=1,Въвеждане!$B$8/SUM($I$5:$I$261),0)</f>
        <v>3.2520325203252</v>
      </c>
      <c r="N90" s="13" t="n">
        <f aca="false">IF(J90=1,Въвеждане!$B$9*C90/SUMPRODUCT($C$5:$C$261,$J$5:$J$261),0)</f>
        <v>11.6610260362564</v>
      </c>
      <c r="O90" s="13" t="n">
        <f aca="false">IF(K90=1,Въвеждане!$B$10*C90/SUMPRODUCT($C$5:$C$261,$K$5:$K$261),0)</f>
        <v>39.6335290544645</v>
      </c>
      <c r="P90" s="16" t="n">
        <f aca="false">SUM(L90:O90)</f>
        <v>143.256265030401</v>
      </c>
    </row>
    <row r="91" customFormat="false" ht="15" hidden="false" customHeight="false" outlineLevel="0" collapsed="false">
      <c r="A91" s="12" t="n">
        <v>87</v>
      </c>
      <c r="B91" s="12" t="s">
        <v>152</v>
      </c>
      <c r="C91" s="20" t="n">
        <v>0.217</v>
      </c>
      <c r="D91" s="12" t="s">
        <v>62</v>
      </c>
      <c r="E91" s="12" t="n">
        <v>2</v>
      </c>
      <c r="F91" s="12"/>
      <c r="H91" s="21" t="n">
        <v>1</v>
      </c>
      <c r="I91" s="21" t="n">
        <v>1</v>
      </c>
      <c r="J91" s="21" t="n">
        <v>1</v>
      </c>
      <c r="K91" s="21" t="n">
        <v>1</v>
      </c>
      <c r="L91" s="13" t="n">
        <f aca="false">IF(H91=1,Въвеждане!$B$17/SUM($H$5:$H$261),0)</f>
        <v>88.7096774193548</v>
      </c>
      <c r="M91" s="13" t="n">
        <f aca="false">IF(I91=1,Въвеждане!$B$8/SUM($I$5:$I$261),0)</f>
        <v>3.2520325203252</v>
      </c>
      <c r="N91" s="13" t="n">
        <f aca="false">IF(J91=1,Въвеждане!$B$9*C91/SUMPRODUCT($C$5:$C$261,$J$5:$J$261),0)</f>
        <v>14.542773849814</v>
      </c>
      <c r="O91" s="13" t="n">
        <f aca="false">IF(K91=1,Въвеждане!$B$10*C91/SUMPRODUCT($C$5:$C$261,$K$5:$K$261),0)</f>
        <v>49.4280218667747</v>
      </c>
      <c r="P91" s="16" t="n">
        <f aca="false">SUM(L91:O91)</f>
        <v>155.932505656269</v>
      </c>
    </row>
    <row r="92" customFormat="false" ht="15" hidden="false" customHeight="false" outlineLevel="0" collapsed="false">
      <c r="A92" s="12" t="n">
        <v>88</v>
      </c>
      <c r="B92" s="12" t="s">
        <v>153</v>
      </c>
      <c r="C92" s="20" t="n">
        <v>0.168</v>
      </c>
      <c r="D92" s="12" t="s">
        <v>62</v>
      </c>
      <c r="E92" s="12" t="n">
        <v>2</v>
      </c>
      <c r="F92" s="12"/>
      <c r="H92" s="21" t="n">
        <v>1</v>
      </c>
      <c r="I92" s="21" t="n">
        <v>1</v>
      </c>
      <c r="J92" s="21" t="n">
        <v>1</v>
      </c>
      <c r="K92" s="21" t="n">
        <v>1</v>
      </c>
      <c r="L92" s="13" t="n">
        <f aca="false">IF(H92=1,Въвеждане!$B$17/SUM($H$5:$H$261),0)</f>
        <v>88.7096774193548</v>
      </c>
      <c r="M92" s="13" t="n">
        <f aca="false">IF(I92=1,Въвеждане!$B$8/SUM($I$5:$I$261),0)</f>
        <v>3.2520325203252</v>
      </c>
      <c r="N92" s="13" t="n">
        <f aca="false">IF(J92=1,Въвеждане!$B$9*C92/SUMPRODUCT($C$5:$C$261,$J$5:$J$261),0)</f>
        <v>11.2589216901786</v>
      </c>
      <c r="O92" s="13" t="n">
        <f aca="false">IF(K92=1,Въвеждане!$B$10*C92/SUMPRODUCT($C$5:$C$261,$K$5:$K$261),0)</f>
        <v>38.2668556387933</v>
      </c>
      <c r="P92" s="16" t="n">
        <f aca="false">SUM(L92:O92)</f>
        <v>141.487487268652</v>
      </c>
    </row>
    <row r="93" customFormat="false" ht="15" hidden="false" customHeight="false" outlineLevel="0" collapsed="false">
      <c r="A93" s="12" t="n">
        <v>89</v>
      </c>
      <c r="B93" s="12" t="s">
        <v>154</v>
      </c>
      <c r="C93" s="20" t="n">
        <v>0.166</v>
      </c>
      <c r="D93" s="12" t="s">
        <v>62</v>
      </c>
      <c r="E93" s="12" t="n">
        <v>2</v>
      </c>
      <c r="F93" s="12"/>
      <c r="H93" s="21" t="n">
        <v>1</v>
      </c>
      <c r="I93" s="21" t="n">
        <v>1</v>
      </c>
      <c r="J93" s="21" t="n">
        <v>1</v>
      </c>
      <c r="K93" s="21" t="n">
        <v>1</v>
      </c>
      <c r="L93" s="13" t="n">
        <f aca="false">IF(H93=1,Въвеждане!$B$17/SUM($H$5:$H$261),0)</f>
        <v>88.7096774193548</v>
      </c>
      <c r="M93" s="13" t="n">
        <f aca="false">IF(I93=1,Въвеждане!$B$8/SUM($I$5:$I$261),0)</f>
        <v>3.2520325203252</v>
      </c>
      <c r="N93" s="13" t="n">
        <f aca="false">IF(J93=1,Въвеждане!$B$9*C93/SUMPRODUCT($C$5:$C$261,$J$5:$J$261),0)</f>
        <v>11.1248869081527</v>
      </c>
      <c r="O93" s="13" t="n">
        <f aca="false">IF(K93=1,Въвеждане!$B$10*C93/SUMPRODUCT($C$5:$C$261,$K$5:$K$261),0)</f>
        <v>37.8112978335696</v>
      </c>
      <c r="P93" s="16" t="n">
        <f aca="false">SUM(L93:O93)</f>
        <v>140.897894681402</v>
      </c>
    </row>
    <row r="94" customFormat="false" ht="15" hidden="false" customHeight="false" outlineLevel="0" collapsed="false">
      <c r="A94" s="12" t="n">
        <v>90</v>
      </c>
      <c r="B94" s="12" t="s">
        <v>155</v>
      </c>
      <c r="C94" s="20" t="n">
        <v>0.217</v>
      </c>
      <c r="D94" s="12" t="s">
        <v>62</v>
      </c>
      <c r="E94" s="12" t="n">
        <v>2</v>
      </c>
      <c r="F94" s="12"/>
      <c r="H94" s="21" t="n">
        <v>1</v>
      </c>
      <c r="I94" s="21" t="n">
        <v>1</v>
      </c>
      <c r="J94" s="21" t="n">
        <v>1</v>
      </c>
      <c r="K94" s="21" t="n">
        <v>1</v>
      </c>
      <c r="L94" s="13" t="n">
        <f aca="false">IF(H94=1,Въвеждане!$B$17/SUM($H$5:$H$261),0)</f>
        <v>88.7096774193548</v>
      </c>
      <c r="M94" s="13" t="n">
        <f aca="false">IF(I94=1,Въвеждане!$B$8/SUM($I$5:$I$261),0)</f>
        <v>3.2520325203252</v>
      </c>
      <c r="N94" s="13" t="n">
        <f aca="false">IF(J94=1,Въвеждане!$B$9*C94/SUMPRODUCT($C$5:$C$261,$J$5:$J$261),0)</f>
        <v>14.542773849814</v>
      </c>
      <c r="O94" s="13" t="n">
        <f aca="false">IF(K94=1,Въвеждане!$B$10*C94/SUMPRODUCT($C$5:$C$261,$K$5:$K$261),0)</f>
        <v>49.4280218667747</v>
      </c>
      <c r="P94" s="16" t="n">
        <f aca="false">SUM(L94:O94)</f>
        <v>155.932505656269</v>
      </c>
    </row>
    <row r="95" customFormat="false" ht="15" hidden="false" customHeight="false" outlineLevel="0" collapsed="false">
      <c r="A95" s="12" t="n">
        <v>91</v>
      </c>
      <c r="B95" s="12" t="s">
        <v>156</v>
      </c>
      <c r="C95" s="20" t="n">
        <v>0.168</v>
      </c>
      <c r="D95" s="12" t="s">
        <v>62</v>
      </c>
      <c r="E95" s="12" t="n">
        <v>2</v>
      </c>
      <c r="F95" s="12"/>
      <c r="H95" s="21" t="n">
        <v>1</v>
      </c>
      <c r="I95" s="21" t="n">
        <v>1</v>
      </c>
      <c r="J95" s="21" t="n">
        <v>1</v>
      </c>
      <c r="K95" s="21" t="n">
        <v>1</v>
      </c>
      <c r="L95" s="13" t="n">
        <f aca="false">IF(H95=1,Въвеждане!$B$17/SUM($H$5:$H$261),0)</f>
        <v>88.7096774193548</v>
      </c>
      <c r="M95" s="13" t="n">
        <f aca="false">IF(I95=1,Въвеждане!$B$8/SUM($I$5:$I$261),0)</f>
        <v>3.2520325203252</v>
      </c>
      <c r="N95" s="13" t="n">
        <f aca="false">IF(J95=1,Въвеждане!$B$9*C95/SUMPRODUCT($C$5:$C$261,$J$5:$J$261),0)</f>
        <v>11.2589216901786</v>
      </c>
      <c r="O95" s="13" t="n">
        <f aca="false">IF(K95=1,Въвеждане!$B$10*C95/SUMPRODUCT($C$5:$C$261,$K$5:$K$261),0)</f>
        <v>38.2668556387933</v>
      </c>
      <c r="P95" s="16" t="n">
        <f aca="false">SUM(L95:O95)</f>
        <v>141.487487268652</v>
      </c>
    </row>
    <row r="96" customFormat="false" ht="15" hidden="false" customHeight="false" outlineLevel="0" collapsed="false">
      <c r="A96" s="12" t="n">
        <v>92</v>
      </c>
      <c r="B96" s="12" t="s">
        <v>157</v>
      </c>
      <c r="C96" s="20" t="n">
        <v>0.169</v>
      </c>
      <c r="D96" s="12" t="s">
        <v>62</v>
      </c>
      <c r="E96" s="12" t="n">
        <v>2</v>
      </c>
      <c r="F96" s="12"/>
      <c r="H96" s="21" t="n">
        <v>1</v>
      </c>
      <c r="I96" s="21" t="n">
        <v>1</v>
      </c>
      <c r="J96" s="21" t="n">
        <v>1</v>
      </c>
      <c r="K96" s="21" t="n">
        <v>1</v>
      </c>
      <c r="L96" s="13" t="n">
        <f aca="false">IF(H96=1,Въвеждане!$B$17/SUM($H$5:$H$261),0)</f>
        <v>88.7096774193548</v>
      </c>
      <c r="M96" s="13" t="n">
        <f aca="false">IF(I96=1,Въвеждане!$B$8/SUM($I$5:$I$261),0)</f>
        <v>3.2520325203252</v>
      </c>
      <c r="N96" s="13" t="n">
        <f aca="false">IF(J96=1,Въвеждане!$B$9*C96/SUMPRODUCT($C$5:$C$261,$J$5:$J$261),0)</f>
        <v>11.3259390811916</v>
      </c>
      <c r="O96" s="13" t="n">
        <f aca="false">IF(K96=1,Въвеждане!$B$10*C96/SUMPRODUCT($C$5:$C$261,$K$5:$K$261),0)</f>
        <v>38.4946345414051</v>
      </c>
      <c r="P96" s="16" t="n">
        <f aca="false">SUM(L96:O96)</f>
        <v>141.782283562277</v>
      </c>
    </row>
    <row r="97" customFormat="false" ht="15" hidden="false" customHeight="false" outlineLevel="0" collapsed="false">
      <c r="A97" s="12" t="n">
        <v>93</v>
      </c>
      <c r="B97" s="12" t="s">
        <v>158</v>
      </c>
      <c r="C97" s="20" t="n">
        <v>0.246</v>
      </c>
      <c r="D97" s="12" t="s">
        <v>62</v>
      </c>
      <c r="E97" s="12" t="n">
        <v>2</v>
      </c>
      <c r="F97" s="12"/>
      <c r="H97" s="21" t="n">
        <v>1</v>
      </c>
      <c r="I97" s="21" t="n">
        <v>1</v>
      </c>
      <c r="J97" s="21" t="n">
        <v>1</v>
      </c>
      <c r="K97" s="21" t="n">
        <v>1</v>
      </c>
      <c r="L97" s="13" t="n">
        <f aca="false">IF(H97=1,Въвеждане!$B$17/SUM($H$5:$H$261),0)</f>
        <v>88.7096774193548</v>
      </c>
      <c r="M97" s="13" t="n">
        <f aca="false">IF(I97=1,Въвеждане!$B$8/SUM($I$5:$I$261),0)</f>
        <v>3.2520325203252</v>
      </c>
      <c r="N97" s="13" t="n">
        <f aca="false">IF(J97=1,Въвеждане!$B$9*C97/SUMPRODUCT($C$5:$C$261,$J$5:$J$261),0)</f>
        <v>16.4862781891901</v>
      </c>
      <c r="O97" s="13" t="n">
        <f aca="false">IF(K97=1,Въвеждане!$B$10*C97/SUMPRODUCT($C$5:$C$261,$K$5:$K$261),0)</f>
        <v>56.0336100425187</v>
      </c>
      <c r="P97" s="16" t="n">
        <f aca="false">SUM(L97:O97)</f>
        <v>164.481598171389</v>
      </c>
    </row>
    <row r="98" customFormat="false" ht="15" hidden="false" customHeight="false" outlineLevel="0" collapsed="false">
      <c r="A98" s="12" t="n">
        <v>94</v>
      </c>
      <c r="B98" s="12" t="s">
        <v>159</v>
      </c>
      <c r="C98" s="20" t="n">
        <v>0.164</v>
      </c>
      <c r="D98" s="12" t="s">
        <v>62</v>
      </c>
      <c r="E98" s="12" t="n">
        <v>2</v>
      </c>
      <c r="F98" s="12"/>
      <c r="H98" s="21" t="n">
        <v>1</v>
      </c>
      <c r="I98" s="21" t="n">
        <v>1</v>
      </c>
      <c r="J98" s="21" t="n">
        <v>1</v>
      </c>
      <c r="K98" s="21" t="n">
        <v>1</v>
      </c>
      <c r="L98" s="13" t="n">
        <f aca="false">IF(H98=1,Въвеждане!$B$17/SUM($H$5:$H$261),0)</f>
        <v>88.7096774193548</v>
      </c>
      <c r="M98" s="13" t="n">
        <f aca="false">IF(I98=1,Въвеждане!$B$8/SUM($I$5:$I$261),0)</f>
        <v>3.2520325203252</v>
      </c>
      <c r="N98" s="13" t="n">
        <f aca="false">IF(J98=1,Въвеждане!$B$9*C98/SUMPRODUCT($C$5:$C$261,$J$5:$J$261),0)</f>
        <v>10.9908521261267</v>
      </c>
      <c r="O98" s="13" t="n">
        <f aca="false">IF(K98=1,Въвеждане!$B$10*C98/SUMPRODUCT($C$5:$C$261,$K$5:$K$261),0)</f>
        <v>37.3557400283458</v>
      </c>
      <c r="P98" s="16" t="n">
        <f aca="false">SUM(L98:O98)</f>
        <v>140.308302094153</v>
      </c>
    </row>
    <row r="99" customFormat="false" ht="15" hidden="false" customHeight="false" outlineLevel="0" collapsed="false">
      <c r="A99" s="12" t="n">
        <v>95</v>
      </c>
      <c r="B99" s="12" t="s">
        <v>160</v>
      </c>
      <c r="C99" s="20" t="n">
        <v>0.177</v>
      </c>
      <c r="D99" s="12" t="s">
        <v>62</v>
      </c>
      <c r="E99" s="12" t="n">
        <v>2</v>
      </c>
      <c r="F99" s="12"/>
      <c r="H99" s="21" t="n">
        <v>1</v>
      </c>
      <c r="I99" s="21" t="n">
        <v>1</v>
      </c>
      <c r="J99" s="21" t="n">
        <v>1</v>
      </c>
      <c r="K99" s="21" t="n">
        <v>1</v>
      </c>
      <c r="L99" s="13" t="n">
        <f aca="false">IF(H99=1,Въвеждане!$B$17/SUM($H$5:$H$261),0)</f>
        <v>88.7096774193548</v>
      </c>
      <c r="M99" s="13" t="n">
        <f aca="false">IF(I99=1,Въвеждане!$B$8/SUM($I$5:$I$261),0)</f>
        <v>3.2520325203252</v>
      </c>
      <c r="N99" s="13" t="n">
        <f aca="false">IF(J99=1,Въвеждане!$B$9*C99/SUMPRODUCT($C$5:$C$261,$J$5:$J$261),0)</f>
        <v>11.8620782092953</v>
      </c>
      <c r="O99" s="13" t="n">
        <f aca="false">IF(K99=1,Въвеждане!$B$10*C99/SUMPRODUCT($C$5:$C$261,$K$5:$K$261),0)</f>
        <v>40.3168657623001</v>
      </c>
      <c r="P99" s="16" t="n">
        <f aca="false">SUM(L99:O99)</f>
        <v>144.140653911275</v>
      </c>
    </row>
    <row r="100" customFormat="false" ht="15" hidden="false" customHeight="false" outlineLevel="0" collapsed="false">
      <c r="A100" s="12" t="n">
        <v>96</v>
      </c>
      <c r="B100" s="12" t="s">
        <v>161</v>
      </c>
      <c r="C100" s="20" t="n">
        <v>0.267</v>
      </c>
      <c r="D100" s="12" t="s">
        <v>62</v>
      </c>
      <c r="E100" s="12" t="n">
        <v>2</v>
      </c>
      <c r="F100" s="12"/>
      <c r="H100" s="21" t="n">
        <v>1</v>
      </c>
      <c r="I100" s="21" t="n">
        <v>1</v>
      </c>
      <c r="J100" s="21" t="n">
        <v>1</v>
      </c>
      <c r="K100" s="21" t="n">
        <v>1</v>
      </c>
      <c r="L100" s="13" t="n">
        <f aca="false">IF(H100=1,Въвеждане!$B$17/SUM($H$5:$H$261),0)</f>
        <v>88.7096774193548</v>
      </c>
      <c r="M100" s="13" t="n">
        <f aca="false">IF(I100=1,Въвеждане!$B$8/SUM($I$5:$I$261),0)</f>
        <v>3.2520325203252</v>
      </c>
      <c r="N100" s="13" t="n">
        <f aca="false">IF(J100=1,Въвеждане!$B$9*C100/SUMPRODUCT($C$5:$C$261,$J$5:$J$261),0)</f>
        <v>17.8936434004624</v>
      </c>
      <c r="O100" s="13" t="n">
        <f aca="false">IF(K100=1,Въвеждане!$B$10*C100/SUMPRODUCT($C$5:$C$261,$K$5:$K$261),0)</f>
        <v>60.8169669973679</v>
      </c>
      <c r="P100" s="16" t="n">
        <f aca="false">SUM(L100:O100)</f>
        <v>170.67232033751</v>
      </c>
    </row>
    <row r="101" customFormat="false" ht="15" hidden="false" customHeight="false" outlineLevel="0" collapsed="false">
      <c r="A101" s="12" t="n">
        <v>97</v>
      </c>
      <c r="B101" s="12" t="s">
        <v>162</v>
      </c>
      <c r="C101" s="20" t="n">
        <v>0.231</v>
      </c>
      <c r="D101" s="12" t="s">
        <v>62</v>
      </c>
      <c r="E101" s="12" t="n">
        <v>2</v>
      </c>
      <c r="F101" s="12"/>
      <c r="H101" s="21" t="n">
        <v>1</v>
      </c>
      <c r="I101" s="21" t="n">
        <v>1</v>
      </c>
      <c r="J101" s="21" t="n">
        <v>1</v>
      </c>
      <c r="K101" s="21" t="n">
        <v>1</v>
      </c>
      <c r="L101" s="13" t="n">
        <f aca="false">IF(H101=1,Въвеждане!$B$17/SUM($H$5:$H$261),0)</f>
        <v>88.7096774193548</v>
      </c>
      <c r="M101" s="13" t="n">
        <f aca="false">IF(I101=1,Въвеждане!$B$8/SUM($I$5:$I$261),0)</f>
        <v>3.2520325203252</v>
      </c>
      <c r="N101" s="13" t="n">
        <f aca="false">IF(J101=1,Въвеждане!$B$9*C101/SUMPRODUCT($C$5:$C$261,$J$5:$J$261),0)</f>
        <v>15.4810173239956</v>
      </c>
      <c r="O101" s="13" t="n">
        <f aca="false">IF(K101=1,Въвеждане!$B$10*C101/SUMPRODUCT($C$5:$C$261,$K$5:$K$261),0)</f>
        <v>52.6169265033408</v>
      </c>
      <c r="P101" s="16" t="n">
        <f aca="false">SUM(L101:O101)</f>
        <v>160.059653767016</v>
      </c>
    </row>
    <row r="102" customFormat="false" ht="15" hidden="false" customHeight="false" outlineLevel="0" collapsed="false">
      <c r="A102" s="12" t="n">
        <v>98</v>
      </c>
      <c r="B102" s="12" t="s">
        <v>163</v>
      </c>
      <c r="C102" s="20" t="n">
        <v>0.236</v>
      </c>
      <c r="D102" s="12" t="s">
        <v>62</v>
      </c>
      <c r="E102" s="12" t="n">
        <v>2</v>
      </c>
      <c r="F102" s="12"/>
      <c r="H102" s="21" t="n">
        <v>1</v>
      </c>
      <c r="I102" s="21" t="n">
        <v>1</v>
      </c>
      <c r="J102" s="21" t="n">
        <v>1</v>
      </c>
      <c r="K102" s="21" t="n">
        <v>1</v>
      </c>
      <c r="L102" s="13" t="n">
        <f aca="false">IF(H102=1,Въвеждане!$B$17/SUM($H$5:$H$261),0)</f>
        <v>88.7096774193548</v>
      </c>
      <c r="M102" s="13" t="n">
        <f aca="false">IF(I102=1,Въвеждане!$B$8/SUM($I$5:$I$261),0)</f>
        <v>3.2520325203252</v>
      </c>
      <c r="N102" s="13" t="n">
        <f aca="false">IF(J102=1,Въвеждане!$B$9*C102/SUMPRODUCT($C$5:$C$261,$J$5:$J$261),0)</f>
        <v>15.8161042790604</v>
      </c>
      <c r="O102" s="13" t="n">
        <f aca="false">IF(K102=1,Въвеждане!$B$10*C102/SUMPRODUCT($C$5:$C$261,$K$5:$K$261),0)</f>
        <v>53.7558210164001</v>
      </c>
      <c r="P102" s="16" t="n">
        <f aca="false">SUM(L102:O102)</f>
        <v>161.533635235141</v>
      </c>
    </row>
    <row r="103" customFormat="false" ht="15" hidden="false" customHeight="false" outlineLevel="0" collapsed="false">
      <c r="A103" s="12" t="n">
        <v>99</v>
      </c>
      <c r="B103" s="12" t="s">
        <v>164</v>
      </c>
      <c r="C103" s="20" t="n">
        <v>0.175</v>
      </c>
      <c r="D103" s="12" t="s">
        <v>62</v>
      </c>
      <c r="E103" s="12" t="n">
        <v>2</v>
      </c>
      <c r="F103" s="12"/>
      <c r="H103" s="21" t="n">
        <v>1</v>
      </c>
      <c r="I103" s="21" t="n">
        <v>1</v>
      </c>
      <c r="J103" s="21" t="n">
        <v>1</v>
      </c>
      <c r="K103" s="21" t="n">
        <v>1</v>
      </c>
      <c r="L103" s="13" t="n">
        <f aca="false">IF(H103=1,Въвеждане!$B$17/SUM($H$5:$H$261),0)</f>
        <v>88.7096774193548</v>
      </c>
      <c r="M103" s="13" t="n">
        <f aca="false">IF(I103=1,Въвеждане!$B$8/SUM($I$5:$I$261),0)</f>
        <v>3.2520325203252</v>
      </c>
      <c r="N103" s="13" t="n">
        <f aca="false">IF(J103=1,Въвеждане!$B$9*C103/SUMPRODUCT($C$5:$C$261,$J$5:$J$261),0)</f>
        <v>11.7280434272694</v>
      </c>
      <c r="O103" s="13" t="n">
        <f aca="false">IF(K103=1,Въвеждане!$B$10*C103/SUMPRODUCT($C$5:$C$261,$K$5:$K$261),0)</f>
        <v>39.8613079570763</v>
      </c>
      <c r="P103" s="16" t="n">
        <f aca="false">SUM(L103:O103)</f>
        <v>143.551061324026</v>
      </c>
    </row>
    <row r="104" customFormat="false" ht="15" hidden="false" customHeight="false" outlineLevel="0" collapsed="false">
      <c r="A104" s="12" t="n">
        <v>100</v>
      </c>
      <c r="B104" s="12" t="s">
        <v>165</v>
      </c>
      <c r="C104" s="20" t="n">
        <v>0.0885</v>
      </c>
      <c r="D104" s="12" t="s">
        <v>62</v>
      </c>
      <c r="E104" s="12" t="n">
        <v>2</v>
      </c>
      <c r="F104" s="12"/>
      <c r="H104" s="21" t="n">
        <v>1</v>
      </c>
      <c r="I104" s="21" t="n">
        <v>1</v>
      </c>
      <c r="J104" s="21" t="n">
        <v>1</v>
      </c>
      <c r="K104" s="21" t="n">
        <v>1</v>
      </c>
      <c r="L104" s="13" t="n">
        <f aca="false">IF(H104=1,Въвеждане!$B$17/SUM($H$5:$H$261),0)</f>
        <v>88.7096774193548</v>
      </c>
      <c r="M104" s="13" t="n">
        <f aca="false">IF(I104=1,Въвеждане!$B$8/SUM($I$5:$I$261),0)</f>
        <v>3.2520325203252</v>
      </c>
      <c r="N104" s="13" t="n">
        <f aca="false">IF(J104=1,Въвеждане!$B$9*C104/SUMPRODUCT($C$5:$C$261,$J$5:$J$261),0)</f>
        <v>5.93103910464766</v>
      </c>
      <c r="O104" s="13" t="n">
        <f aca="false">IF(K104=1,Въвеждане!$B$10*C104/SUMPRODUCT($C$5:$C$261,$K$5:$K$261),0)</f>
        <v>20.15843288115</v>
      </c>
      <c r="P104" s="16" t="n">
        <f aca="false">SUM(L104:O104)</f>
        <v>118.051181925478</v>
      </c>
    </row>
    <row r="105" customFormat="false" ht="15" hidden="false" customHeight="false" outlineLevel="0" collapsed="false">
      <c r="A105" s="12" t="n">
        <v>101</v>
      </c>
      <c r="B105" s="12" t="s">
        <v>166</v>
      </c>
      <c r="C105" s="20" t="n">
        <v>0.0885</v>
      </c>
      <c r="D105" s="12" t="s">
        <v>62</v>
      </c>
      <c r="E105" s="12" t="n">
        <v>2</v>
      </c>
      <c r="F105" s="12"/>
      <c r="H105" s="21" t="n">
        <v>1</v>
      </c>
      <c r="I105" s="21" t="n">
        <v>1</v>
      </c>
      <c r="J105" s="21" t="n">
        <v>1</v>
      </c>
      <c r="K105" s="21" t="n">
        <v>1</v>
      </c>
      <c r="L105" s="13" t="n">
        <f aca="false">IF(H105=1,Въвеждане!$B$17/SUM($H$5:$H$261),0)</f>
        <v>88.7096774193548</v>
      </c>
      <c r="M105" s="13" t="n">
        <f aca="false">IF(I105=1,Въвеждане!$B$8/SUM($I$5:$I$261),0)</f>
        <v>3.2520325203252</v>
      </c>
      <c r="N105" s="13" t="n">
        <f aca="false">IF(J105=1,Въвеждане!$B$9*C105/SUMPRODUCT($C$5:$C$261,$J$5:$J$261),0)</f>
        <v>5.93103910464766</v>
      </c>
      <c r="O105" s="13" t="n">
        <f aca="false">IF(K105=1,Въвеждане!$B$10*C105/SUMPRODUCT($C$5:$C$261,$K$5:$K$261),0)</f>
        <v>20.15843288115</v>
      </c>
      <c r="P105" s="16" t="n">
        <f aca="false">SUM(L105:O105)</f>
        <v>118.051181925478</v>
      </c>
    </row>
    <row r="106" customFormat="false" ht="15" hidden="false" customHeight="false" outlineLevel="0" collapsed="false">
      <c r="A106" s="12" t="n">
        <v>102</v>
      </c>
      <c r="B106" s="12" t="s">
        <v>167</v>
      </c>
      <c r="C106" s="20" t="n">
        <v>0.13</v>
      </c>
      <c r="D106" s="12" t="s">
        <v>62</v>
      </c>
      <c r="E106" s="12" t="n">
        <v>2</v>
      </c>
      <c r="F106" s="12"/>
      <c r="H106" s="21" t="n">
        <v>1</v>
      </c>
      <c r="I106" s="21" t="n">
        <v>1</v>
      </c>
      <c r="J106" s="21" t="n">
        <v>1</v>
      </c>
      <c r="K106" s="21" t="n">
        <v>1</v>
      </c>
      <c r="L106" s="13" t="n">
        <f aca="false">IF(H106=1,Въвеждане!$B$17/SUM($H$5:$H$261),0)</f>
        <v>88.7096774193548</v>
      </c>
      <c r="M106" s="13" t="n">
        <f aca="false">IF(I106=1,Въвеждане!$B$8/SUM($I$5:$I$261),0)</f>
        <v>3.2520325203252</v>
      </c>
      <c r="N106" s="13" t="n">
        <f aca="false">IF(J106=1,Въвеждане!$B$9*C106/SUMPRODUCT($C$5:$C$261,$J$5:$J$261),0)</f>
        <v>8.71226083168582</v>
      </c>
      <c r="O106" s="13" t="n">
        <f aca="false">IF(K106=1,Въвеждане!$B$10*C106/SUMPRODUCT($C$5:$C$261,$K$5:$K$261),0)</f>
        <v>29.6112573395424</v>
      </c>
      <c r="P106" s="16" t="n">
        <f aca="false">SUM(L106:O106)</f>
        <v>130.285228110908</v>
      </c>
    </row>
    <row r="107" customFormat="false" ht="15" hidden="false" customHeight="false" outlineLevel="0" collapsed="false">
      <c r="A107" s="12" t="n">
        <v>103</v>
      </c>
      <c r="B107" s="12" t="s">
        <v>168</v>
      </c>
      <c r="C107" s="20" t="n">
        <v>0.174</v>
      </c>
      <c r="D107" s="12" t="s">
        <v>62</v>
      </c>
      <c r="E107" s="12" t="n">
        <v>2</v>
      </c>
      <c r="F107" s="12"/>
      <c r="H107" s="21" t="n">
        <v>1</v>
      </c>
      <c r="I107" s="21" t="n">
        <v>1</v>
      </c>
      <c r="J107" s="21" t="n">
        <v>1</v>
      </c>
      <c r="K107" s="21" t="n">
        <v>1</v>
      </c>
      <c r="L107" s="13" t="n">
        <f aca="false">IF(H107=1,Въвеждане!$B$17/SUM($H$5:$H$261),0)</f>
        <v>88.7096774193548</v>
      </c>
      <c r="M107" s="13" t="n">
        <f aca="false">IF(I107=1,Въвеждане!$B$8/SUM($I$5:$I$261),0)</f>
        <v>3.2520325203252</v>
      </c>
      <c r="N107" s="13" t="n">
        <f aca="false">IF(J107=1,Въвеждане!$B$9*C107/SUMPRODUCT($C$5:$C$261,$J$5:$J$261),0)</f>
        <v>11.6610260362564</v>
      </c>
      <c r="O107" s="13" t="n">
        <f aca="false">IF(K107=1,Въвеждане!$B$10*C107/SUMPRODUCT($C$5:$C$261,$K$5:$K$261),0)</f>
        <v>39.6335290544645</v>
      </c>
      <c r="P107" s="16" t="n">
        <f aca="false">SUM(L107:O107)</f>
        <v>143.256265030401</v>
      </c>
    </row>
    <row r="108" customFormat="false" ht="15" hidden="false" customHeight="false" outlineLevel="0" collapsed="false">
      <c r="A108" s="12" t="n">
        <v>104</v>
      </c>
      <c r="B108" s="12" t="s">
        <v>169</v>
      </c>
      <c r="C108" s="20" t="n">
        <v>0.18</v>
      </c>
      <c r="D108" s="12" t="s">
        <v>62</v>
      </c>
      <c r="E108" s="12" t="n">
        <v>2</v>
      </c>
      <c r="F108" s="12"/>
      <c r="H108" s="21" t="n">
        <v>1</v>
      </c>
      <c r="I108" s="21" t="n">
        <v>1</v>
      </c>
      <c r="J108" s="21" t="n">
        <v>1</v>
      </c>
      <c r="K108" s="21" t="n">
        <v>1</v>
      </c>
      <c r="L108" s="13" t="n">
        <f aca="false">IF(H108=1,Въвеждане!$B$17/SUM($H$5:$H$261),0)</f>
        <v>88.7096774193548</v>
      </c>
      <c r="M108" s="13" t="n">
        <f aca="false">IF(I108=1,Въвеждане!$B$8/SUM($I$5:$I$261),0)</f>
        <v>3.2520325203252</v>
      </c>
      <c r="N108" s="13" t="n">
        <f aca="false">IF(J108=1,Въвеждане!$B$9*C108/SUMPRODUCT($C$5:$C$261,$J$5:$J$261),0)</f>
        <v>12.0631303823342</v>
      </c>
      <c r="O108" s="13" t="n">
        <f aca="false">IF(K108=1,Въвеждане!$B$10*C108/SUMPRODUCT($C$5:$C$261,$K$5:$K$261),0)</f>
        <v>41.0002024701357</v>
      </c>
      <c r="P108" s="16" t="n">
        <f aca="false">SUM(L108:O108)</f>
        <v>145.02504279215</v>
      </c>
    </row>
    <row r="109" customFormat="false" ht="15" hidden="false" customHeight="false" outlineLevel="0" collapsed="false">
      <c r="A109" s="12" t="n">
        <v>105</v>
      </c>
      <c r="B109" s="12" t="s">
        <v>170</v>
      </c>
      <c r="C109" s="20" t="n">
        <v>0.174</v>
      </c>
      <c r="D109" s="12" t="s">
        <v>62</v>
      </c>
      <c r="E109" s="12" t="n">
        <v>2</v>
      </c>
      <c r="F109" s="12"/>
      <c r="H109" s="21" t="n">
        <v>1</v>
      </c>
      <c r="I109" s="21" t="n">
        <v>1</v>
      </c>
      <c r="J109" s="21" t="n">
        <v>1</v>
      </c>
      <c r="K109" s="21" t="n">
        <v>1</v>
      </c>
      <c r="L109" s="13" t="n">
        <f aca="false">IF(H109=1,Въвеждане!$B$17/SUM($H$5:$H$261),0)</f>
        <v>88.7096774193548</v>
      </c>
      <c r="M109" s="13" t="n">
        <f aca="false">IF(I109=1,Въвеждане!$B$8/SUM($I$5:$I$261),0)</f>
        <v>3.2520325203252</v>
      </c>
      <c r="N109" s="13" t="n">
        <f aca="false">IF(J109=1,Въвеждане!$B$9*C109/SUMPRODUCT($C$5:$C$261,$J$5:$J$261),0)</f>
        <v>11.6610260362564</v>
      </c>
      <c r="O109" s="13" t="n">
        <f aca="false">IF(K109=1,Въвеждане!$B$10*C109/SUMPRODUCT($C$5:$C$261,$K$5:$K$261),0)</f>
        <v>39.6335290544645</v>
      </c>
      <c r="P109" s="16" t="n">
        <f aca="false">SUM(L109:O109)</f>
        <v>143.256265030401</v>
      </c>
    </row>
    <row r="110" customFormat="false" ht="15" hidden="false" customHeight="false" outlineLevel="0" collapsed="false">
      <c r="A110" s="12" t="n">
        <v>106</v>
      </c>
      <c r="B110" s="12" t="s">
        <v>171</v>
      </c>
      <c r="C110" s="20" t="n">
        <v>0.174</v>
      </c>
      <c r="D110" s="12" t="s">
        <v>62</v>
      </c>
      <c r="E110" s="12" t="n">
        <v>2</v>
      </c>
      <c r="F110" s="12"/>
      <c r="H110" s="21" t="n">
        <v>1</v>
      </c>
      <c r="I110" s="21" t="n">
        <v>1</v>
      </c>
      <c r="J110" s="21" t="n">
        <v>1</v>
      </c>
      <c r="K110" s="21" t="n">
        <v>1</v>
      </c>
      <c r="L110" s="13" t="n">
        <f aca="false">IF(H110=1,Въвеждане!$B$17/SUM($H$5:$H$261),0)</f>
        <v>88.7096774193548</v>
      </c>
      <c r="M110" s="13" t="n">
        <f aca="false">IF(I110=1,Въвеждане!$B$8/SUM($I$5:$I$261),0)</f>
        <v>3.2520325203252</v>
      </c>
      <c r="N110" s="13" t="n">
        <f aca="false">IF(J110=1,Въвеждане!$B$9*C110/SUMPRODUCT($C$5:$C$261,$J$5:$J$261),0)</f>
        <v>11.6610260362564</v>
      </c>
      <c r="O110" s="13" t="n">
        <f aca="false">IF(K110=1,Въвеждане!$B$10*C110/SUMPRODUCT($C$5:$C$261,$K$5:$K$261),0)</f>
        <v>39.6335290544645</v>
      </c>
      <c r="P110" s="16" t="n">
        <f aca="false">SUM(L110:O110)</f>
        <v>143.256265030401</v>
      </c>
    </row>
    <row r="111" customFormat="false" ht="15" hidden="false" customHeight="false" outlineLevel="0" collapsed="false">
      <c r="A111" s="12" t="n">
        <v>107</v>
      </c>
      <c r="B111" s="12" t="s">
        <v>172</v>
      </c>
      <c r="C111" s="20" t="n">
        <v>0.227</v>
      </c>
      <c r="D111" s="12" t="s">
        <v>62</v>
      </c>
      <c r="E111" s="12" t="n">
        <v>2</v>
      </c>
      <c r="F111" s="12"/>
      <c r="H111" s="21" t="n">
        <v>1</v>
      </c>
      <c r="I111" s="21" t="n">
        <v>1</v>
      </c>
      <c r="J111" s="21" t="n">
        <v>1</v>
      </c>
      <c r="K111" s="21" t="n">
        <v>1</v>
      </c>
      <c r="L111" s="13" t="n">
        <f aca="false">IF(H111=1,Въвеждане!$B$17/SUM($H$5:$H$261),0)</f>
        <v>88.7096774193548</v>
      </c>
      <c r="M111" s="13" t="n">
        <f aca="false">IF(I111=1,Въвеждане!$B$8/SUM($I$5:$I$261),0)</f>
        <v>3.2520325203252</v>
      </c>
      <c r="N111" s="13" t="n">
        <f aca="false">IF(J111=1,Въвеждане!$B$9*C111/SUMPRODUCT($C$5:$C$261,$J$5:$J$261),0)</f>
        <v>15.2129477599437</v>
      </c>
      <c r="O111" s="13" t="n">
        <f aca="false">IF(K111=1,Въвеждане!$B$10*C111/SUMPRODUCT($C$5:$C$261,$K$5:$K$261),0)</f>
        <v>51.7058108928933</v>
      </c>
      <c r="P111" s="16" t="n">
        <f aca="false">SUM(L111:O111)</f>
        <v>158.880468592517</v>
      </c>
    </row>
    <row r="112" customFormat="false" ht="15" hidden="false" customHeight="false" outlineLevel="0" collapsed="false">
      <c r="A112" s="12" t="n">
        <v>108</v>
      </c>
      <c r="B112" s="12" t="s">
        <v>173</v>
      </c>
      <c r="C112" s="20" t="n">
        <v>0.155</v>
      </c>
      <c r="D112" s="12" t="s">
        <v>62</v>
      </c>
      <c r="E112" s="12" t="n">
        <v>2</v>
      </c>
      <c r="F112" s="12"/>
      <c r="H112" s="21" t="n">
        <v>1</v>
      </c>
      <c r="I112" s="21" t="n">
        <v>1</v>
      </c>
      <c r="J112" s="21" t="n">
        <v>1</v>
      </c>
      <c r="K112" s="21" t="n">
        <v>1</v>
      </c>
      <c r="L112" s="13" t="n">
        <f aca="false">IF(H112=1,Въвеждане!$B$17/SUM($H$5:$H$261),0)</f>
        <v>88.7096774193548</v>
      </c>
      <c r="M112" s="13" t="n">
        <f aca="false">IF(I112=1,Въвеждане!$B$8/SUM($I$5:$I$261),0)</f>
        <v>3.2520325203252</v>
      </c>
      <c r="N112" s="13" t="n">
        <f aca="false">IF(J112=1,Въвеждане!$B$9*C112/SUMPRODUCT($C$5:$C$261,$J$5:$J$261),0)</f>
        <v>10.38769560701</v>
      </c>
      <c r="O112" s="13" t="n">
        <f aca="false">IF(K112=1,Въвеждане!$B$10*C112/SUMPRODUCT($C$5:$C$261,$K$5:$K$261),0)</f>
        <v>35.305729904839</v>
      </c>
      <c r="P112" s="16" t="n">
        <f aca="false">SUM(L112:O112)</f>
        <v>137.655135451529</v>
      </c>
    </row>
    <row r="113" customFormat="false" ht="15" hidden="false" customHeight="false" outlineLevel="0" collapsed="false">
      <c r="A113" s="12" t="n">
        <v>109</v>
      </c>
      <c r="B113" s="12" t="s">
        <v>174</v>
      </c>
      <c r="C113" s="20" t="n">
        <v>0.15</v>
      </c>
      <c r="D113" s="12" t="s">
        <v>62</v>
      </c>
      <c r="E113" s="12" t="n">
        <v>2</v>
      </c>
      <c r="F113" s="12"/>
      <c r="H113" s="21" t="n">
        <v>1</v>
      </c>
      <c r="I113" s="21" t="n">
        <v>1</v>
      </c>
      <c r="J113" s="21" t="n">
        <v>1</v>
      </c>
      <c r="K113" s="21" t="n">
        <v>1</v>
      </c>
      <c r="L113" s="13" t="n">
        <f aca="false">IF(H113=1,Въвеждане!$B$17/SUM($H$5:$H$261),0)</f>
        <v>88.7096774193548</v>
      </c>
      <c r="M113" s="13" t="n">
        <f aca="false">IF(I113=1,Въвеждане!$B$8/SUM($I$5:$I$261),0)</f>
        <v>3.2520325203252</v>
      </c>
      <c r="N113" s="13" t="n">
        <f aca="false">IF(J113=1,Въвеждане!$B$9*C113/SUMPRODUCT($C$5:$C$261,$J$5:$J$261),0)</f>
        <v>10.0526086519452</v>
      </c>
      <c r="O113" s="13" t="n">
        <f aca="false">IF(K113=1,Въвеждане!$B$10*C113/SUMPRODUCT($C$5:$C$261,$K$5:$K$261),0)</f>
        <v>34.1668353917797</v>
      </c>
      <c r="P113" s="16" t="n">
        <f aca="false">SUM(L113:O113)</f>
        <v>136.181153983405</v>
      </c>
    </row>
    <row r="114" customFormat="false" ht="15" hidden="false" customHeight="false" outlineLevel="0" collapsed="false">
      <c r="A114" s="12" t="n">
        <v>110</v>
      </c>
      <c r="B114" s="12" t="s">
        <v>175</v>
      </c>
      <c r="C114" s="20" t="n">
        <v>0.149</v>
      </c>
      <c r="D114" s="12" t="s">
        <v>62</v>
      </c>
      <c r="E114" s="12" t="n">
        <v>2</v>
      </c>
      <c r="F114" s="12"/>
      <c r="H114" s="21" t="n">
        <v>1</v>
      </c>
      <c r="I114" s="21" t="n">
        <v>1</v>
      </c>
      <c r="J114" s="21" t="n">
        <v>1</v>
      </c>
      <c r="K114" s="21" t="n">
        <v>1</v>
      </c>
      <c r="L114" s="13" t="n">
        <f aca="false">IF(H114=1,Въвеждане!$B$17/SUM($H$5:$H$261),0)</f>
        <v>88.7096774193548</v>
      </c>
      <c r="M114" s="13" t="n">
        <f aca="false">IF(I114=1,Въвеждане!$B$8/SUM($I$5:$I$261),0)</f>
        <v>3.2520325203252</v>
      </c>
      <c r="N114" s="13" t="n">
        <f aca="false">IF(J114=1,Въвеждане!$B$9*C114/SUMPRODUCT($C$5:$C$261,$J$5:$J$261),0)</f>
        <v>9.98559126093221</v>
      </c>
      <c r="O114" s="13" t="n">
        <f aca="false">IF(K114=1,Въвеждане!$B$10*C114/SUMPRODUCT($C$5:$C$261,$K$5:$K$261),0)</f>
        <v>33.9390564891679</v>
      </c>
      <c r="P114" s="16" t="n">
        <f aca="false">SUM(L114:O114)</f>
        <v>135.88635768978</v>
      </c>
    </row>
    <row r="115" customFormat="false" ht="15" hidden="false" customHeight="false" outlineLevel="0" collapsed="false">
      <c r="A115" s="12" t="n">
        <v>111</v>
      </c>
      <c r="B115" s="12" t="s">
        <v>176</v>
      </c>
      <c r="C115" s="20" t="n">
        <v>0.156</v>
      </c>
      <c r="D115" s="12" t="s">
        <v>62</v>
      </c>
      <c r="E115" s="12" t="n">
        <v>2</v>
      </c>
      <c r="F115" s="12"/>
      <c r="H115" s="21" t="n">
        <v>1</v>
      </c>
      <c r="I115" s="21" t="n">
        <v>1</v>
      </c>
      <c r="J115" s="21" t="n">
        <v>1</v>
      </c>
      <c r="K115" s="21" t="n">
        <v>1</v>
      </c>
      <c r="L115" s="13" t="n">
        <f aca="false">IF(H115=1,Въвеждане!$B$17/SUM($H$5:$H$261),0)</f>
        <v>88.7096774193548</v>
      </c>
      <c r="M115" s="13" t="n">
        <f aca="false">IF(I115=1,Въвеждане!$B$8/SUM($I$5:$I$261),0)</f>
        <v>3.2520325203252</v>
      </c>
      <c r="N115" s="13" t="n">
        <f aca="false">IF(J115=1,Въвеждане!$B$9*C115/SUMPRODUCT($C$5:$C$261,$J$5:$J$261),0)</f>
        <v>10.454712998023</v>
      </c>
      <c r="O115" s="13" t="n">
        <f aca="false">IF(K115=1,Въвеждане!$B$10*C115/SUMPRODUCT($C$5:$C$261,$K$5:$K$261),0)</f>
        <v>35.5335088074509</v>
      </c>
      <c r="P115" s="16" t="n">
        <f aca="false">SUM(L115:O115)</f>
        <v>137.949931745154</v>
      </c>
    </row>
    <row r="116" customFormat="false" ht="15" hidden="false" customHeight="false" outlineLevel="0" collapsed="false">
      <c r="A116" s="12" t="n">
        <v>112</v>
      </c>
      <c r="B116" s="12" t="s">
        <v>177</v>
      </c>
      <c r="C116" s="20" t="n">
        <v>0.17</v>
      </c>
      <c r="D116" s="12" t="s">
        <v>62</v>
      </c>
      <c r="E116" s="12" t="n">
        <v>2</v>
      </c>
      <c r="F116" s="12"/>
      <c r="H116" s="21" t="n">
        <v>1</v>
      </c>
      <c r="I116" s="21" t="n">
        <v>1</v>
      </c>
      <c r="J116" s="21" t="n">
        <v>1</v>
      </c>
      <c r="K116" s="21" t="n">
        <v>1</v>
      </c>
      <c r="L116" s="13" t="n">
        <f aca="false">IF(H116=1,Въвеждане!$B$17/SUM($H$5:$H$261),0)</f>
        <v>88.7096774193548</v>
      </c>
      <c r="M116" s="13" t="n">
        <f aca="false">IF(I116=1,Въвеждане!$B$8/SUM($I$5:$I$261),0)</f>
        <v>3.2520325203252</v>
      </c>
      <c r="N116" s="13" t="n">
        <f aca="false">IF(J116=1,Въвеждане!$B$9*C116/SUMPRODUCT($C$5:$C$261,$J$5:$J$261),0)</f>
        <v>11.3929564722045</v>
      </c>
      <c r="O116" s="13" t="n">
        <f aca="false">IF(K116=1,Въвеждане!$B$10*C116/SUMPRODUCT($C$5:$C$261,$K$5:$K$261),0)</f>
        <v>38.722413444017</v>
      </c>
      <c r="P116" s="16" t="n">
        <f aca="false">SUM(L116:O116)</f>
        <v>142.077079855902</v>
      </c>
    </row>
    <row r="117" customFormat="false" ht="15" hidden="false" customHeight="false" outlineLevel="0" collapsed="false">
      <c r="A117" s="12" t="n">
        <v>113</v>
      </c>
      <c r="B117" s="12" t="s">
        <v>178</v>
      </c>
      <c r="C117" s="20" t="n">
        <v>0.254</v>
      </c>
      <c r="D117" s="12" t="s">
        <v>62</v>
      </c>
      <c r="E117" s="12" t="n">
        <v>2</v>
      </c>
      <c r="F117" s="12"/>
      <c r="H117" s="21" t="n">
        <v>1</v>
      </c>
      <c r="I117" s="21" t="n">
        <v>1</v>
      </c>
      <c r="J117" s="21" t="n">
        <v>1</v>
      </c>
      <c r="K117" s="21" t="n">
        <v>1</v>
      </c>
      <c r="L117" s="13" t="n">
        <f aca="false">IF(H117=1,Въвеждане!$B$17/SUM($H$5:$H$261),0)</f>
        <v>88.7096774193548</v>
      </c>
      <c r="M117" s="13" t="n">
        <f aca="false">IF(I117=1,Въвеждане!$B$8/SUM($I$5:$I$261),0)</f>
        <v>3.2520325203252</v>
      </c>
      <c r="N117" s="13" t="n">
        <f aca="false">IF(J117=1,Въвеждане!$B$9*C117/SUMPRODUCT($C$5:$C$261,$J$5:$J$261),0)</f>
        <v>17.0224173172938</v>
      </c>
      <c r="O117" s="13" t="n">
        <f aca="false">IF(K117=1,Въвеждане!$B$10*C117/SUMPRODUCT($C$5:$C$261,$K$5:$K$261),0)</f>
        <v>57.8558412634136</v>
      </c>
      <c r="P117" s="16" t="n">
        <f aca="false">SUM(L117:O117)</f>
        <v>166.839968520388</v>
      </c>
    </row>
    <row r="118" customFormat="false" ht="15" hidden="false" customHeight="false" outlineLevel="0" collapsed="false">
      <c r="A118" s="12" t="n">
        <v>114</v>
      </c>
      <c r="B118" s="12" t="s">
        <v>179</v>
      </c>
      <c r="C118" s="20" t="n">
        <v>0.297</v>
      </c>
      <c r="D118" s="12" t="s">
        <v>62</v>
      </c>
      <c r="E118" s="12" t="n">
        <v>2</v>
      </c>
      <c r="F118" s="12"/>
      <c r="H118" s="21" t="n">
        <v>1</v>
      </c>
      <c r="I118" s="21" t="n">
        <v>1</v>
      </c>
      <c r="J118" s="21" t="n">
        <v>1</v>
      </c>
      <c r="K118" s="21" t="n">
        <v>1</v>
      </c>
      <c r="L118" s="13" t="n">
        <f aca="false">IF(H118=1,Въвеждане!$B$17/SUM($H$5:$H$261),0)</f>
        <v>88.7096774193548</v>
      </c>
      <c r="M118" s="13" t="n">
        <f aca="false">IF(I118=1,Въвеждане!$B$8/SUM($I$5:$I$261),0)</f>
        <v>3.2520325203252</v>
      </c>
      <c r="N118" s="13" t="n">
        <f aca="false">IF(J118=1,Въвеждане!$B$9*C118/SUMPRODUCT($C$5:$C$261,$J$5:$J$261),0)</f>
        <v>19.9041651308515</v>
      </c>
      <c r="O118" s="13" t="n">
        <f aca="false">IF(K118=1,Въвеждане!$B$10*C118/SUMPRODUCT($C$5:$C$261,$K$5:$K$261),0)</f>
        <v>67.6503340757238</v>
      </c>
      <c r="P118" s="16" t="n">
        <f aca="false">SUM(L118:O118)</f>
        <v>179.516209146255</v>
      </c>
    </row>
    <row r="119" customFormat="false" ht="15" hidden="false" customHeight="false" outlineLevel="0" collapsed="false">
      <c r="A119" s="12" t="n">
        <v>115</v>
      </c>
      <c r="B119" s="12" t="s">
        <v>180</v>
      </c>
      <c r="C119" s="20" t="n">
        <v>0.15</v>
      </c>
      <c r="D119" s="12" t="s">
        <v>62</v>
      </c>
      <c r="E119" s="12" t="n">
        <v>2</v>
      </c>
      <c r="F119" s="12"/>
      <c r="H119" s="21" t="n">
        <v>1</v>
      </c>
      <c r="I119" s="21" t="n">
        <v>1</v>
      </c>
      <c r="J119" s="21" t="n">
        <v>1</v>
      </c>
      <c r="K119" s="21" t="n">
        <v>1</v>
      </c>
      <c r="L119" s="13" t="n">
        <f aca="false">IF(H119=1,Въвеждане!$B$17/SUM($H$5:$H$261),0)</f>
        <v>88.7096774193548</v>
      </c>
      <c r="M119" s="13" t="n">
        <f aca="false">IF(I119=1,Въвеждане!$B$8/SUM($I$5:$I$261),0)</f>
        <v>3.2520325203252</v>
      </c>
      <c r="N119" s="13" t="n">
        <f aca="false">IF(J119=1,Въвеждане!$B$9*C119/SUMPRODUCT($C$5:$C$261,$J$5:$J$261),0)</f>
        <v>10.0526086519452</v>
      </c>
      <c r="O119" s="13" t="n">
        <f aca="false">IF(K119=1,Въвеждане!$B$10*C119/SUMPRODUCT($C$5:$C$261,$K$5:$K$261),0)</f>
        <v>34.1668353917797</v>
      </c>
      <c r="P119" s="16" t="n">
        <f aca="false">SUM(L119:O119)</f>
        <v>136.181153983405</v>
      </c>
    </row>
    <row r="120" customFormat="false" ht="15" hidden="false" customHeight="false" outlineLevel="0" collapsed="false">
      <c r="A120" s="12" t="n">
        <v>116</v>
      </c>
      <c r="B120" s="12" t="s">
        <v>181</v>
      </c>
      <c r="C120" s="20" t="n">
        <v>0.147</v>
      </c>
      <c r="D120" s="12" t="s">
        <v>62</v>
      </c>
      <c r="E120" s="12" t="n">
        <v>2</v>
      </c>
      <c r="F120" s="12"/>
      <c r="H120" s="21" t="n">
        <v>1</v>
      </c>
      <c r="I120" s="21" t="n">
        <v>1</v>
      </c>
      <c r="J120" s="21" t="n">
        <v>1</v>
      </c>
      <c r="K120" s="21" t="n">
        <v>1</v>
      </c>
      <c r="L120" s="13" t="n">
        <f aca="false">IF(H120=1,Въвеждане!$B$17/SUM($H$5:$H$261),0)</f>
        <v>88.7096774193548</v>
      </c>
      <c r="M120" s="13" t="n">
        <f aca="false">IF(I120=1,Въвеждане!$B$8/SUM($I$5:$I$261),0)</f>
        <v>3.2520325203252</v>
      </c>
      <c r="N120" s="13" t="n">
        <f aca="false">IF(J120=1,Въвеждане!$B$9*C120/SUMPRODUCT($C$5:$C$261,$J$5:$J$261),0)</f>
        <v>9.85155647890628</v>
      </c>
      <c r="O120" s="13" t="n">
        <f aca="false">IF(K120=1,Въвеждане!$B$10*C120/SUMPRODUCT($C$5:$C$261,$K$5:$K$261),0)</f>
        <v>33.4834986839441</v>
      </c>
      <c r="P120" s="16" t="n">
        <f aca="false">SUM(L120:O120)</f>
        <v>135.29676510253</v>
      </c>
    </row>
    <row r="121" customFormat="false" ht="15" hidden="false" customHeight="false" outlineLevel="0" collapsed="false">
      <c r="A121" s="12" t="n">
        <v>117</v>
      </c>
      <c r="B121" s="12" t="s">
        <v>182</v>
      </c>
      <c r="C121" s="20" t="n">
        <v>0.156</v>
      </c>
      <c r="D121" s="12" t="s">
        <v>62</v>
      </c>
      <c r="E121" s="12" t="n">
        <v>2</v>
      </c>
      <c r="F121" s="12"/>
      <c r="H121" s="21" t="n">
        <v>1</v>
      </c>
      <c r="I121" s="21" t="n">
        <v>1</v>
      </c>
      <c r="J121" s="21" t="n">
        <v>1</v>
      </c>
      <c r="K121" s="21" t="n">
        <v>1</v>
      </c>
      <c r="L121" s="13" t="n">
        <f aca="false">IF(H121=1,Въвеждане!$B$17/SUM($H$5:$H$261),0)</f>
        <v>88.7096774193548</v>
      </c>
      <c r="M121" s="13" t="n">
        <f aca="false">IF(I121=1,Въвеждане!$B$8/SUM($I$5:$I$261),0)</f>
        <v>3.2520325203252</v>
      </c>
      <c r="N121" s="13" t="n">
        <f aca="false">IF(J121=1,Въвеждане!$B$9*C121/SUMPRODUCT($C$5:$C$261,$J$5:$J$261),0)</f>
        <v>10.454712998023</v>
      </c>
      <c r="O121" s="13" t="n">
        <f aca="false">IF(K121=1,Въвеждане!$B$10*C121/SUMPRODUCT($C$5:$C$261,$K$5:$K$261),0)</f>
        <v>35.5335088074509</v>
      </c>
      <c r="P121" s="16" t="n">
        <f aca="false">SUM(L121:O121)</f>
        <v>137.949931745154</v>
      </c>
    </row>
    <row r="122" customFormat="false" ht="15" hidden="false" customHeight="false" outlineLevel="0" collapsed="false">
      <c r="A122" s="12" t="n">
        <v>118</v>
      </c>
      <c r="B122" s="12" t="s">
        <v>183</v>
      </c>
      <c r="C122" s="20" t="n">
        <v>0.163</v>
      </c>
      <c r="D122" s="12" t="s">
        <v>62</v>
      </c>
      <c r="E122" s="12" t="n">
        <v>2</v>
      </c>
      <c r="F122" s="12"/>
      <c r="H122" s="21" t="n">
        <v>1</v>
      </c>
      <c r="I122" s="21" t="n">
        <v>1</v>
      </c>
      <c r="J122" s="21" t="n">
        <v>1</v>
      </c>
      <c r="K122" s="21" t="n">
        <v>1</v>
      </c>
      <c r="L122" s="13" t="n">
        <f aca="false">IF(H122=1,Въвеждане!$B$17/SUM($H$5:$H$261),0)</f>
        <v>88.7096774193548</v>
      </c>
      <c r="M122" s="13" t="n">
        <f aca="false">IF(I122=1,Въвеждане!$B$8/SUM($I$5:$I$261),0)</f>
        <v>3.2520325203252</v>
      </c>
      <c r="N122" s="13" t="n">
        <f aca="false">IF(J122=1,Въвеждане!$B$9*C122/SUMPRODUCT($C$5:$C$261,$J$5:$J$261),0)</f>
        <v>10.9238347351138</v>
      </c>
      <c r="O122" s="13" t="n">
        <f aca="false">IF(K122=1,Въвеждане!$B$10*C122/SUMPRODUCT($C$5:$C$261,$K$5:$K$261),0)</f>
        <v>37.127961125734</v>
      </c>
      <c r="P122" s="16" t="n">
        <f aca="false">SUM(L122:O122)</f>
        <v>140.013505800528</v>
      </c>
    </row>
    <row r="123" customFormat="false" ht="15" hidden="false" customHeight="false" outlineLevel="0" collapsed="false">
      <c r="A123" s="12" t="n">
        <v>119</v>
      </c>
      <c r="B123" s="12" t="s">
        <v>184</v>
      </c>
      <c r="C123" s="20" t="n">
        <v>0.153</v>
      </c>
      <c r="D123" s="12" t="s">
        <v>62</v>
      </c>
      <c r="E123" s="12" t="n">
        <v>2</v>
      </c>
      <c r="F123" s="12"/>
      <c r="H123" s="21" t="n">
        <v>1</v>
      </c>
      <c r="I123" s="21" t="n">
        <v>1</v>
      </c>
      <c r="J123" s="21" t="n">
        <v>1</v>
      </c>
      <c r="K123" s="21" t="n">
        <v>1</v>
      </c>
      <c r="L123" s="13" t="n">
        <f aca="false">IF(H123=1,Въвеждане!$B$17/SUM($H$5:$H$261),0)</f>
        <v>88.7096774193548</v>
      </c>
      <c r="M123" s="13" t="n">
        <f aca="false">IF(I123=1,Въвеждане!$B$8/SUM($I$5:$I$261),0)</f>
        <v>3.2520325203252</v>
      </c>
      <c r="N123" s="13" t="n">
        <f aca="false">IF(J123=1,Въвеждане!$B$9*C123/SUMPRODUCT($C$5:$C$261,$J$5:$J$261),0)</f>
        <v>10.2536608249841</v>
      </c>
      <c r="O123" s="13" t="n">
        <f aca="false">IF(K123=1,Въвеждане!$B$10*C123/SUMPRODUCT($C$5:$C$261,$K$5:$K$261),0)</f>
        <v>34.8501720996153</v>
      </c>
      <c r="P123" s="16" t="n">
        <f aca="false">SUM(L123:O123)</f>
        <v>137.065542864279</v>
      </c>
    </row>
    <row r="124" customFormat="false" ht="15" hidden="false" customHeight="false" outlineLevel="0" collapsed="false">
      <c r="A124" s="12" t="n">
        <v>120</v>
      </c>
      <c r="B124" s="12" t="s">
        <v>185</v>
      </c>
      <c r="C124" s="20" t="n">
        <v>0.211</v>
      </c>
      <c r="D124" s="12" t="s">
        <v>62</v>
      </c>
      <c r="E124" s="12" t="n">
        <v>2</v>
      </c>
      <c r="F124" s="12"/>
      <c r="H124" s="21" t="n">
        <v>1</v>
      </c>
      <c r="I124" s="21" t="n">
        <v>1</v>
      </c>
      <c r="J124" s="21" t="n">
        <v>1</v>
      </c>
      <c r="K124" s="21" t="n">
        <v>1</v>
      </c>
      <c r="L124" s="13" t="n">
        <f aca="false">IF(H124=1,Въвеждане!$B$17/SUM($H$5:$H$261),0)</f>
        <v>88.7096774193548</v>
      </c>
      <c r="M124" s="13" t="n">
        <f aca="false">IF(I124=1,Въвеждане!$B$8/SUM($I$5:$I$261),0)</f>
        <v>3.2520325203252</v>
      </c>
      <c r="N124" s="13" t="n">
        <f aca="false">IF(J124=1,Въвеждане!$B$9*C124/SUMPRODUCT($C$5:$C$261,$J$5:$J$261),0)</f>
        <v>14.1406695037362</v>
      </c>
      <c r="O124" s="13" t="n">
        <f aca="false">IF(K124=1,Въвеждане!$B$10*C124/SUMPRODUCT($C$5:$C$261,$K$5:$K$261),0)</f>
        <v>48.0613484511035</v>
      </c>
      <c r="P124" s="16" t="n">
        <f aca="false">SUM(L124:O124)</f>
        <v>154.16372789452</v>
      </c>
    </row>
    <row r="125" customFormat="false" ht="15" hidden="false" customHeight="false" outlineLevel="0" collapsed="false">
      <c r="A125" s="12" t="n">
        <v>121</v>
      </c>
      <c r="B125" s="12" t="s">
        <v>186</v>
      </c>
      <c r="C125" s="20" t="n">
        <v>0.184</v>
      </c>
      <c r="D125" s="12" t="s">
        <v>62</v>
      </c>
      <c r="E125" s="12" t="n">
        <v>2</v>
      </c>
      <c r="F125" s="12"/>
      <c r="H125" s="21" t="n">
        <v>1</v>
      </c>
      <c r="I125" s="21" t="n">
        <v>1</v>
      </c>
      <c r="J125" s="21" t="n">
        <v>1</v>
      </c>
      <c r="K125" s="21" t="n">
        <v>1</v>
      </c>
      <c r="L125" s="13" t="n">
        <f aca="false">IF(H125=1,Въвеждане!$B$17/SUM($H$5:$H$261),0)</f>
        <v>88.7096774193548</v>
      </c>
      <c r="M125" s="13" t="n">
        <f aca="false">IF(I125=1,Въвеждане!$B$8/SUM($I$5:$I$261),0)</f>
        <v>3.2520325203252</v>
      </c>
      <c r="N125" s="13" t="n">
        <f aca="false">IF(J125=1,Въвеждане!$B$9*C125/SUMPRODUCT($C$5:$C$261,$J$5:$J$261),0)</f>
        <v>12.3311999463861</v>
      </c>
      <c r="O125" s="13" t="n">
        <f aca="false">IF(K125=1,Въвеждане!$B$10*C125/SUMPRODUCT($C$5:$C$261,$K$5:$K$261),0)</f>
        <v>41.9113180805831</v>
      </c>
      <c r="P125" s="16" t="n">
        <f aca="false">SUM(L125:O125)</f>
        <v>146.204227966649</v>
      </c>
    </row>
    <row r="126" customFormat="false" ht="15" hidden="false" customHeight="false" outlineLevel="0" collapsed="false">
      <c r="A126" s="12" t="n">
        <v>122</v>
      </c>
      <c r="B126" s="12" t="s">
        <v>187</v>
      </c>
      <c r="C126" s="20" t="n">
        <v>0.17</v>
      </c>
      <c r="D126" s="12" t="s">
        <v>62</v>
      </c>
      <c r="E126" s="12" t="n">
        <v>2</v>
      </c>
      <c r="F126" s="12"/>
      <c r="H126" s="21" t="n">
        <v>1</v>
      </c>
      <c r="I126" s="21" t="n">
        <v>1</v>
      </c>
      <c r="J126" s="21" t="n">
        <v>1</v>
      </c>
      <c r="K126" s="21" t="n">
        <v>1</v>
      </c>
      <c r="L126" s="13" t="n">
        <f aca="false">IF(H126=1,Въвеждане!$B$17/SUM($H$5:$H$261),0)</f>
        <v>88.7096774193548</v>
      </c>
      <c r="M126" s="13" t="n">
        <f aca="false">IF(I126=1,Въвеждане!$B$8/SUM($I$5:$I$261),0)</f>
        <v>3.2520325203252</v>
      </c>
      <c r="N126" s="13" t="n">
        <f aca="false">IF(J126=1,Въвеждане!$B$9*C126/SUMPRODUCT($C$5:$C$261,$J$5:$J$261),0)</f>
        <v>11.3929564722045</v>
      </c>
      <c r="O126" s="13" t="n">
        <f aca="false">IF(K126=1,Въвеждане!$B$10*C126/SUMPRODUCT($C$5:$C$261,$K$5:$K$261),0)</f>
        <v>38.722413444017</v>
      </c>
      <c r="P126" s="16" t="n">
        <f aca="false">SUM(L126:O126)</f>
        <v>142.077079855902</v>
      </c>
    </row>
    <row r="127" customFormat="false" ht="15" hidden="false" customHeight="false" outlineLevel="0" collapsed="false">
      <c r="A127" s="12" t="n">
        <v>123</v>
      </c>
      <c r="B127" s="12" t="s">
        <v>188</v>
      </c>
      <c r="C127" s="20" t="n">
        <v>0.154</v>
      </c>
      <c r="D127" s="12" t="s">
        <v>62</v>
      </c>
      <c r="E127" s="12" t="n">
        <v>2</v>
      </c>
      <c r="F127" s="12"/>
      <c r="H127" s="21" t="n">
        <v>1</v>
      </c>
      <c r="I127" s="21" t="n">
        <v>1</v>
      </c>
      <c r="J127" s="21" t="n">
        <v>1</v>
      </c>
      <c r="K127" s="21" t="n">
        <v>1</v>
      </c>
      <c r="L127" s="13" t="n">
        <f aca="false">IF(H127=1,Въвеждане!$B$17/SUM($H$5:$H$261),0)</f>
        <v>88.7096774193548</v>
      </c>
      <c r="M127" s="13" t="n">
        <f aca="false">IF(I127=1,Въвеждане!$B$8/SUM($I$5:$I$261),0)</f>
        <v>3.2520325203252</v>
      </c>
      <c r="N127" s="13" t="n">
        <f aca="false">IF(J127=1,Въвеждане!$B$9*C127/SUMPRODUCT($C$5:$C$261,$J$5:$J$261),0)</f>
        <v>10.3206782159971</v>
      </c>
      <c r="O127" s="13" t="n">
        <f aca="false">IF(K127=1,Въвеждане!$B$10*C127/SUMPRODUCT($C$5:$C$261,$K$5:$K$261),0)</f>
        <v>35.0779510022272</v>
      </c>
      <c r="P127" s="16" t="n">
        <f aca="false">SUM(L127:O127)</f>
        <v>137.360339157904</v>
      </c>
    </row>
    <row r="128" customFormat="false" ht="15" hidden="false" customHeight="false" outlineLevel="0" collapsed="false">
      <c r="A128" s="12" t="n">
        <v>124</v>
      </c>
      <c r="B128" s="12" t="s">
        <v>189</v>
      </c>
      <c r="C128" s="20" t="n">
        <v>0.263</v>
      </c>
      <c r="D128" s="12" t="s">
        <v>62</v>
      </c>
      <c r="E128" s="12" t="n">
        <v>2</v>
      </c>
      <c r="F128" s="12"/>
      <c r="H128" s="21" t="n">
        <v>1</v>
      </c>
      <c r="I128" s="21" t="n">
        <v>1</v>
      </c>
      <c r="J128" s="21" t="n">
        <v>1</v>
      </c>
      <c r="K128" s="21" t="n">
        <v>1</v>
      </c>
      <c r="L128" s="13" t="n">
        <f aca="false">IF(H128=1,Въвеждане!$B$17/SUM($H$5:$H$261),0)</f>
        <v>88.7096774193548</v>
      </c>
      <c r="M128" s="13" t="n">
        <f aca="false">IF(I128=1,Въвеждане!$B$8/SUM($I$5:$I$261),0)</f>
        <v>3.2520325203252</v>
      </c>
      <c r="N128" s="13" t="n">
        <f aca="false">IF(J128=1,Въвеждане!$B$9*C128/SUMPRODUCT($C$5:$C$261,$J$5:$J$261),0)</f>
        <v>17.6255738364106</v>
      </c>
      <c r="O128" s="13" t="n">
        <f aca="false">IF(K128=1,Въвеждане!$B$10*C128/SUMPRODUCT($C$5:$C$261,$K$5:$K$261),0)</f>
        <v>59.9058513869204</v>
      </c>
      <c r="P128" s="16" t="n">
        <f aca="false">SUM(L128:O128)</f>
        <v>169.493135163011</v>
      </c>
    </row>
    <row r="129" customFormat="false" ht="15" hidden="false" customHeight="false" outlineLevel="0" collapsed="false">
      <c r="A129" s="12" t="n">
        <v>125</v>
      </c>
      <c r="B129" s="12" t="s">
        <v>190</v>
      </c>
      <c r="C129" s="20" t="n">
        <v>0.171</v>
      </c>
      <c r="D129" s="12" t="s">
        <v>62</v>
      </c>
      <c r="E129" s="12" t="n">
        <v>2</v>
      </c>
      <c r="F129" s="12"/>
      <c r="H129" s="21" t="n">
        <v>1</v>
      </c>
      <c r="I129" s="21" t="n">
        <v>1</v>
      </c>
      <c r="J129" s="21" t="n">
        <v>1</v>
      </c>
      <c r="K129" s="21" t="n">
        <v>1</v>
      </c>
      <c r="L129" s="13" t="n">
        <f aca="false">IF(H129=1,Въвеждане!$B$17/SUM($H$5:$H$261),0)</f>
        <v>88.7096774193548</v>
      </c>
      <c r="M129" s="13" t="n">
        <f aca="false">IF(I129=1,Въвеждане!$B$8/SUM($I$5:$I$261),0)</f>
        <v>3.2520325203252</v>
      </c>
      <c r="N129" s="13" t="n">
        <f aca="false">IF(J129=1,Въвеждане!$B$9*C129/SUMPRODUCT($C$5:$C$261,$J$5:$J$261),0)</f>
        <v>11.4599738632175</v>
      </c>
      <c r="O129" s="13" t="n">
        <f aca="false">IF(K129=1,Въвеждане!$B$10*C129/SUMPRODUCT($C$5:$C$261,$K$5:$K$261),0)</f>
        <v>38.9501923466289</v>
      </c>
      <c r="P129" s="16" t="n">
        <f aca="false">SUM(L129:O129)</f>
        <v>142.371876149526</v>
      </c>
    </row>
    <row r="130" customFormat="false" ht="15" hidden="false" customHeight="false" outlineLevel="0" collapsed="false">
      <c r="A130" s="12" t="n">
        <v>126</v>
      </c>
      <c r="B130" s="12" t="s">
        <v>191</v>
      </c>
      <c r="C130" s="20" t="n">
        <v>0.201</v>
      </c>
      <c r="D130" s="12" t="s">
        <v>62</v>
      </c>
      <c r="E130" s="12" t="n">
        <v>2</v>
      </c>
      <c r="F130" s="12"/>
      <c r="H130" s="21" t="n">
        <v>1</v>
      </c>
      <c r="I130" s="21" t="n">
        <v>1</v>
      </c>
      <c r="J130" s="21" t="n">
        <v>1</v>
      </c>
      <c r="K130" s="21" t="n">
        <v>1</v>
      </c>
      <c r="L130" s="13" t="n">
        <f aca="false">IF(H130=1,Въвеждане!$B$17/SUM($H$5:$H$261),0)</f>
        <v>88.7096774193548</v>
      </c>
      <c r="M130" s="13" t="n">
        <f aca="false">IF(I130=1,Въвеждане!$B$8/SUM($I$5:$I$261),0)</f>
        <v>3.2520325203252</v>
      </c>
      <c r="N130" s="13" t="n">
        <f aca="false">IF(J130=1,Въвеждане!$B$9*C130/SUMPRODUCT($C$5:$C$261,$J$5:$J$261),0)</f>
        <v>13.4704955936065</v>
      </c>
      <c r="O130" s="13" t="n">
        <f aca="false">IF(K130=1,Въвеждане!$B$10*C130/SUMPRODUCT($C$5:$C$261,$K$5:$K$261),0)</f>
        <v>45.7835594249848</v>
      </c>
      <c r="P130" s="16" t="n">
        <f aca="false">SUM(L130:O130)</f>
        <v>151.215764958271</v>
      </c>
    </row>
    <row r="131" customFormat="false" ht="15" hidden="false" customHeight="false" outlineLevel="0" collapsed="false">
      <c r="A131" s="12" t="n">
        <v>127</v>
      </c>
      <c r="B131" s="12" t="s">
        <v>192</v>
      </c>
      <c r="C131" s="20" t="n">
        <v>0.156</v>
      </c>
      <c r="D131" s="12" t="s">
        <v>62</v>
      </c>
      <c r="E131" s="12" t="n">
        <v>2</v>
      </c>
      <c r="F131" s="12"/>
      <c r="H131" s="21" t="n">
        <v>1</v>
      </c>
      <c r="I131" s="21" t="n">
        <v>1</v>
      </c>
      <c r="J131" s="21" t="n">
        <v>1</v>
      </c>
      <c r="K131" s="21" t="n">
        <v>1</v>
      </c>
      <c r="L131" s="13" t="n">
        <f aca="false">IF(H131=1,Въвеждане!$B$17/SUM($H$5:$H$261),0)</f>
        <v>88.7096774193548</v>
      </c>
      <c r="M131" s="13" t="n">
        <f aca="false">IF(I131=1,Въвеждане!$B$8/SUM($I$5:$I$261),0)</f>
        <v>3.2520325203252</v>
      </c>
      <c r="N131" s="13" t="n">
        <f aca="false">IF(J131=1,Въвеждане!$B$9*C131/SUMPRODUCT($C$5:$C$261,$J$5:$J$261),0)</f>
        <v>10.454712998023</v>
      </c>
      <c r="O131" s="13" t="n">
        <f aca="false">IF(K131=1,Въвеждане!$B$10*C131/SUMPRODUCT($C$5:$C$261,$K$5:$K$261),0)</f>
        <v>35.5335088074509</v>
      </c>
      <c r="P131" s="16" t="n">
        <f aca="false">SUM(L131:O131)</f>
        <v>137.949931745154</v>
      </c>
    </row>
    <row r="132" customFormat="false" ht="15" hidden="false" customHeight="false" outlineLevel="0" collapsed="false">
      <c r="A132" s="12" t="n">
        <v>128</v>
      </c>
      <c r="B132" s="12" t="s">
        <v>193</v>
      </c>
      <c r="C132" s="20" t="n">
        <v>0.112</v>
      </c>
      <c r="D132" s="12" t="s">
        <v>62</v>
      </c>
      <c r="E132" s="12" t="n">
        <v>2</v>
      </c>
      <c r="F132" s="12"/>
      <c r="H132" s="21" t="n">
        <v>1</v>
      </c>
      <c r="I132" s="21" t="n">
        <v>1</v>
      </c>
      <c r="J132" s="21" t="n">
        <v>1</v>
      </c>
      <c r="K132" s="21" t="n">
        <v>1</v>
      </c>
      <c r="L132" s="13" t="n">
        <f aca="false">IF(H132=1,Въвеждане!$B$17/SUM($H$5:$H$261),0)</f>
        <v>88.7096774193548</v>
      </c>
      <c r="M132" s="13" t="n">
        <f aca="false">IF(I132=1,Въвеждане!$B$8/SUM($I$5:$I$261),0)</f>
        <v>3.2520325203252</v>
      </c>
      <c r="N132" s="13" t="n">
        <f aca="false">IF(J132=1,Въвеждане!$B$9*C132/SUMPRODUCT($C$5:$C$261,$J$5:$J$261),0)</f>
        <v>7.5059477934524</v>
      </c>
      <c r="O132" s="13" t="n">
        <f aca="false">IF(K132=1,Въвеждане!$B$10*C132/SUMPRODUCT($C$5:$C$261,$K$5:$K$261),0)</f>
        <v>25.5112370925289</v>
      </c>
      <c r="P132" s="16" t="n">
        <f aca="false">SUM(L132:O132)</f>
        <v>124.978894825661</v>
      </c>
    </row>
    <row r="133" customFormat="false" ht="15" hidden="false" customHeight="false" outlineLevel="0" collapsed="false">
      <c r="A133" s="12" t="n">
        <v>129</v>
      </c>
      <c r="B133" s="12" t="s">
        <v>194</v>
      </c>
      <c r="C133" s="20" t="n">
        <v>0.153</v>
      </c>
      <c r="D133" s="12" t="s">
        <v>62</v>
      </c>
      <c r="E133" s="12" t="n">
        <v>2</v>
      </c>
      <c r="F133" s="12"/>
      <c r="H133" s="21" t="n">
        <v>1</v>
      </c>
      <c r="I133" s="21" t="n">
        <v>1</v>
      </c>
      <c r="J133" s="21" t="n">
        <v>1</v>
      </c>
      <c r="K133" s="21" t="n">
        <v>1</v>
      </c>
      <c r="L133" s="13" t="n">
        <f aca="false">IF(H133=1,Въвеждане!$B$17/SUM($H$5:$H$261),0)</f>
        <v>88.7096774193548</v>
      </c>
      <c r="M133" s="13" t="n">
        <f aca="false">IF(I133=1,Въвеждане!$B$8/SUM($I$5:$I$261),0)</f>
        <v>3.2520325203252</v>
      </c>
      <c r="N133" s="13" t="n">
        <f aca="false">IF(J133=1,Въвеждане!$B$9*C133/SUMPRODUCT($C$5:$C$261,$J$5:$J$261),0)</f>
        <v>10.2536608249841</v>
      </c>
      <c r="O133" s="13" t="n">
        <f aca="false">IF(K133=1,Въвеждане!$B$10*C133/SUMPRODUCT($C$5:$C$261,$K$5:$K$261),0)</f>
        <v>34.8501720996153</v>
      </c>
      <c r="P133" s="16" t="n">
        <f aca="false">SUM(L133:O133)</f>
        <v>137.065542864279</v>
      </c>
    </row>
    <row r="134" customFormat="false" ht="15" hidden="false" customHeight="false" outlineLevel="0" collapsed="false">
      <c r="A134" s="12" t="n">
        <v>130</v>
      </c>
      <c r="B134" s="12" t="s">
        <v>195</v>
      </c>
      <c r="C134" s="20" t="n">
        <v>0.156</v>
      </c>
      <c r="D134" s="12" t="s">
        <v>62</v>
      </c>
      <c r="E134" s="12" t="n">
        <v>2</v>
      </c>
      <c r="F134" s="12"/>
      <c r="H134" s="21" t="n">
        <v>1</v>
      </c>
      <c r="I134" s="21" t="n">
        <v>1</v>
      </c>
      <c r="J134" s="21" t="n">
        <v>1</v>
      </c>
      <c r="K134" s="21" t="n">
        <v>1</v>
      </c>
      <c r="L134" s="13" t="n">
        <f aca="false">IF(H134=1,Въвеждане!$B$17/SUM($H$5:$H$261),0)</f>
        <v>88.7096774193548</v>
      </c>
      <c r="M134" s="13" t="n">
        <f aca="false">IF(I134=1,Въвеждане!$B$8/SUM($I$5:$I$261),0)</f>
        <v>3.2520325203252</v>
      </c>
      <c r="N134" s="13" t="n">
        <f aca="false">IF(J134=1,Въвеждане!$B$9*C134/SUMPRODUCT($C$5:$C$261,$J$5:$J$261),0)</f>
        <v>10.454712998023</v>
      </c>
      <c r="O134" s="13" t="n">
        <f aca="false">IF(K134=1,Въвеждане!$B$10*C134/SUMPRODUCT($C$5:$C$261,$K$5:$K$261),0)</f>
        <v>35.5335088074509</v>
      </c>
      <c r="P134" s="16" t="n">
        <f aca="false">SUM(L134:O134)</f>
        <v>137.949931745154</v>
      </c>
    </row>
    <row r="135" customFormat="false" ht="15" hidden="false" customHeight="false" outlineLevel="0" collapsed="false">
      <c r="A135" s="12" t="n">
        <v>131</v>
      </c>
      <c r="B135" s="12" t="s">
        <v>196</v>
      </c>
      <c r="C135" s="20" t="n">
        <v>0.164</v>
      </c>
      <c r="D135" s="12" t="s">
        <v>62</v>
      </c>
      <c r="E135" s="12" t="n">
        <v>2</v>
      </c>
      <c r="F135" s="12"/>
      <c r="H135" s="21" t="n">
        <v>1</v>
      </c>
      <c r="I135" s="21" t="n">
        <v>1</v>
      </c>
      <c r="J135" s="21" t="n">
        <v>1</v>
      </c>
      <c r="K135" s="21" t="n">
        <v>1</v>
      </c>
      <c r="L135" s="13" t="n">
        <f aca="false">IF(H135=1,Въвеждане!$B$17/SUM($H$5:$H$261),0)</f>
        <v>88.7096774193548</v>
      </c>
      <c r="M135" s="13" t="n">
        <f aca="false">IF(I135=1,Въвеждане!$B$8/SUM($I$5:$I$261),0)</f>
        <v>3.2520325203252</v>
      </c>
      <c r="N135" s="13" t="n">
        <f aca="false">IF(J135=1,Въвеждане!$B$9*C135/SUMPRODUCT($C$5:$C$261,$J$5:$J$261),0)</f>
        <v>10.9908521261267</v>
      </c>
      <c r="O135" s="13" t="n">
        <f aca="false">IF(K135=1,Въвеждане!$B$10*C135/SUMPRODUCT($C$5:$C$261,$K$5:$K$261),0)</f>
        <v>37.3557400283458</v>
      </c>
      <c r="P135" s="16" t="n">
        <f aca="false">SUM(L135:O135)</f>
        <v>140.308302094153</v>
      </c>
    </row>
    <row r="136" customFormat="false" ht="15" hidden="false" customHeight="false" outlineLevel="0" collapsed="false">
      <c r="A136" s="12" t="n">
        <v>132</v>
      </c>
      <c r="B136" s="12" t="s">
        <v>197</v>
      </c>
      <c r="C136" s="20" t="n">
        <v>0.176</v>
      </c>
      <c r="D136" s="12" t="s">
        <v>62</v>
      </c>
      <c r="E136" s="12" t="n">
        <v>2</v>
      </c>
      <c r="F136" s="12"/>
      <c r="H136" s="21" t="n">
        <v>1</v>
      </c>
      <c r="I136" s="21" t="n">
        <v>1</v>
      </c>
      <c r="J136" s="21" t="n">
        <v>1</v>
      </c>
      <c r="K136" s="21" t="n">
        <v>1</v>
      </c>
      <c r="L136" s="13" t="n">
        <f aca="false">IF(H136=1,Въвеждане!$B$17/SUM($H$5:$H$261),0)</f>
        <v>88.7096774193548</v>
      </c>
      <c r="M136" s="13" t="n">
        <f aca="false">IF(I136=1,Въвеждане!$B$8/SUM($I$5:$I$261),0)</f>
        <v>3.2520325203252</v>
      </c>
      <c r="N136" s="13" t="n">
        <f aca="false">IF(J136=1,Въвеждане!$B$9*C136/SUMPRODUCT($C$5:$C$261,$J$5:$J$261),0)</f>
        <v>11.7950608182823</v>
      </c>
      <c r="O136" s="13" t="n">
        <f aca="false">IF(K136=1,Въвеждане!$B$10*C136/SUMPRODUCT($C$5:$C$261,$K$5:$K$261),0)</f>
        <v>40.0890868596882</v>
      </c>
      <c r="P136" s="16" t="n">
        <f aca="false">SUM(L136:O136)</f>
        <v>143.845857617651</v>
      </c>
    </row>
    <row r="137" customFormat="false" ht="15" hidden="false" customHeight="false" outlineLevel="0" collapsed="false">
      <c r="A137" s="12" t="n">
        <v>133</v>
      </c>
      <c r="B137" s="12" t="s">
        <v>198</v>
      </c>
      <c r="C137" s="20" t="n">
        <v>0.48</v>
      </c>
      <c r="D137" s="12" t="s">
        <v>62</v>
      </c>
      <c r="E137" s="12" t="n">
        <v>2</v>
      </c>
      <c r="F137" s="12"/>
      <c r="H137" s="21" t="n">
        <v>1</v>
      </c>
      <c r="I137" s="21" t="n">
        <v>1</v>
      </c>
      <c r="J137" s="21" t="n">
        <v>1</v>
      </c>
      <c r="K137" s="21" t="n">
        <v>1</v>
      </c>
      <c r="L137" s="13" t="n">
        <f aca="false">IF(H137=1,Въвеждане!$B$17/SUM($H$5:$H$261),0)</f>
        <v>88.7096774193548</v>
      </c>
      <c r="M137" s="13" t="n">
        <f aca="false">IF(I137=1,Въвеждане!$B$8/SUM($I$5:$I$261),0)</f>
        <v>3.2520325203252</v>
      </c>
      <c r="N137" s="13" t="n">
        <f aca="false">IF(J137=1,Въвеждане!$B$9*C137/SUMPRODUCT($C$5:$C$261,$J$5:$J$261),0)</f>
        <v>32.1683476862246</v>
      </c>
      <c r="O137" s="13" t="n">
        <f aca="false">IF(K137=1,Въвеждане!$B$10*C137/SUMPRODUCT($C$5:$C$261,$K$5:$K$261),0)</f>
        <v>109.333873253695</v>
      </c>
      <c r="P137" s="16" t="n">
        <f aca="false">SUM(L137:O137)</f>
        <v>233.4639308796</v>
      </c>
    </row>
    <row r="138" customFormat="false" ht="15" hidden="false" customHeight="false" outlineLevel="0" collapsed="false">
      <c r="A138" s="12" t="n">
        <v>134</v>
      </c>
      <c r="B138" s="12" t="s">
        <v>199</v>
      </c>
      <c r="C138" s="20" t="n">
        <v>0.128</v>
      </c>
      <c r="D138" s="12" t="s">
        <v>62</v>
      </c>
      <c r="E138" s="12" t="n">
        <v>2</v>
      </c>
      <c r="F138" s="12"/>
      <c r="H138" s="21" t="n">
        <v>1</v>
      </c>
      <c r="I138" s="21" t="n">
        <v>1</v>
      </c>
      <c r="J138" s="21" t="n">
        <v>1</v>
      </c>
      <c r="K138" s="21" t="n">
        <v>1</v>
      </c>
      <c r="L138" s="13" t="n">
        <f aca="false">IF(H138=1,Въвеждане!$B$17/SUM($H$5:$H$261),0)</f>
        <v>88.7096774193548</v>
      </c>
      <c r="M138" s="13" t="n">
        <f aca="false">IF(I138=1,Въвеждане!$B$8/SUM($I$5:$I$261),0)</f>
        <v>3.2520325203252</v>
      </c>
      <c r="N138" s="13" t="n">
        <f aca="false">IF(J138=1,Въвеждане!$B$9*C138/SUMPRODUCT($C$5:$C$261,$J$5:$J$261),0)</f>
        <v>8.57822604965989</v>
      </c>
      <c r="O138" s="13" t="n">
        <f aca="false">IF(K138=1,Въвеждане!$B$10*C138/SUMPRODUCT($C$5:$C$261,$K$5:$K$261),0)</f>
        <v>29.1556995343187</v>
      </c>
      <c r="P138" s="16" t="n">
        <f aca="false">SUM(L138:O138)</f>
        <v>129.695635523659</v>
      </c>
    </row>
    <row r="139" customFormat="false" ht="15" hidden="false" customHeight="false" outlineLevel="0" collapsed="false">
      <c r="A139" s="12" t="n">
        <v>135</v>
      </c>
      <c r="B139" s="12" t="s">
        <v>200</v>
      </c>
      <c r="C139" s="20" t="n">
        <v>0.128</v>
      </c>
      <c r="D139" s="12" t="s">
        <v>62</v>
      </c>
      <c r="E139" s="12" t="n">
        <v>2</v>
      </c>
      <c r="F139" s="12"/>
      <c r="H139" s="21" t="n">
        <v>1</v>
      </c>
      <c r="I139" s="21" t="n">
        <v>1</v>
      </c>
      <c r="J139" s="21" t="n">
        <v>1</v>
      </c>
      <c r="K139" s="21" t="n">
        <v>1</v>
      </c>
      <c r="L139" s="13" t="n">
        <f aca="false">IF(H139=1,Въвеждане!$B$17/SUM($H$5:$H$261),0)</f>
        <v>88.7096774193548</v>
      </c>
      <c r="M139" s="13" t="n">
        <f aca="false">IF(I139=1,Въвеждане!$B$8/SUM($I$5:$I$261),0)</f>
        <v>3.2520325203252</v>
      </c>
      <c r="N139" s="13" t="n">
        <f aca="false">IF(J139=1,Въвеждане!$B$9*C139/SUMPRODUCT($C$5:$C$261,$J$5:$J$261),0)</f>
        <v>8.57822604965989</v>
      </c>
      <c r="O139" s="13" t="n">
        <f aca="false">IF(K139=1,Въвеждане!$B$10*C139/SUMPRODUCT($C$5:$C$261,$K$5:$K$261),0)</f>
        <v>29.1556995343187</v>
      </c>
      <c r="P139" s="16" t="n">
        <f aca="false">SUM(L139:O139)</f>
        <v>129.695635523659</v>
      </c>
    </row>
    <row r="140" customFormat="false" ht="15" hidden="false" customHeight="false" outlineLevel="0" collapsed="false">
      <c r="A140" s="12" t="n">
        <v>136</v>
      </c>
      <c r="B140" s="12" t="s">
        <v>201</v>
      </c>
      <c r="C140" s="20" t="n">
        <v>0.155</v>
      </c>
      <c r="D140" s="12" t="s">
        <v>62</v>
      </c>
      <c r="E140" s="12" t="n">
        <v>2</v>
      </c>
      <c r="F140" s="12"/>
      <c r="H140" s="21" t="n">
        <v>1</v>
      </c>
      <c r="I140" s="21" t="n">
        <v>1</v>
      </c>
      <c r="J140" s="21" t="n">
        <v>1</v>
      </c>
      <c r="K140" s="21" t="n">
        <v>1</v>
      </c>
      <c r="L140" s="13" t="n">
        <f aca="false">IF(H140=1,Въвеждане!$B$17/SUM($H$5:$H$261),0)</f>
        <v>88.7096774193548</v>
      </c>
      <c r="M140" s="13" t="n">
        <f aca="false">IF(I140=1,Въвеждане!$B$8/SUM($I$5:$I$261),0)</f>
        <v>3.2520325203252</v>
      </c>
      <c r="N140" s="13" t="n">
        <f aca="false">IF(J140=1,Въвеждане!$B$9*C140/SUMPRODUCT($C$5:$C$261,$J$5:$J$261),0)</f>
        <v>10.38769560701</v>
      </c>
      <c r="O140" s="13" t="n">
        <f aca="false">IF(K140=1,Въвеждане!$B$10*C140/SUMPRODUCT($C$5:$C$261,$K$5:$K$261),0)</f>
        <v>35.305729904839</v>
      </c>
      <c r="P140" s="16" t="n">
        <f aca="false">SUM(L140:O140)</f>
        <v>137.655135451529</v>
      </c>
    </row>
    <row r="141" customFormat="false" ht="15" hidden="false" customHeight="false" outlineLevel="0" collapsed="false">
      <c r="A141" s="12" t="n">
        <v>137</v>
      </c>
      <c r="B141" s="12" t="s">
        <v>202</v>
      </c>
      <c r="C141" s="20" t="n">
        <v>0.16</v>
      </c>
      <c r="D141" s="12" t="s">
        <v>62</v>
      </c>
      <c r="E141" s="12" t="n">
        <v>2</v>
      </c>
      <c r="F141" s="12"/>
      <c r="H141" s="21" t="n">
        <v>1</v>
      </c>
      <c r="I141" s="21" t="n">
        <v>1</v>
      </c>
      <c r="J141" s="21" t="n">
        <v>1</v>
      </c>
      <c r="K141" s="21" t="n">
        <v>1</v>
      </c>
      <c r="L141" s="13" t="n">
        <f aca="false">IF(H141=1,Въвеждане!$B$17/SUM($H$5:$H$261),0)</f>
        <v>88.7096774193548</v>
      </c>
      <c r="M141" s="13" t="n">
        <f aca="false">IF(I141=1,Въвеждане!$B$8/SUM($I$5:$I$261),0)</f>
        <v>3.2520325203252</v>
      </c>
      <c r="N141" s="13" t="n">
        <f aca="false">IF(J141=1,Въвеждане!$B$9*C141/SUMPRODUCT($C$5:$C$261,$J$5:$J$261),0)</f>
        <v>10.7227825620749</v>
      </c>
      <c r="O141" s="13" t="n">
        <f aca="false">IF(K141=1,Въвеждане!$B$10*C141/SUMPRODUCT($C$5:$C$261,$K$5:$K$261),0)</f>
        <v>36.4446244178984</v>
      </c>
      <c r="P141" s="16" t="n">
        <f aca="false">SUM(L141:O141)</f>
        <v>139.129116919653</v>
      </c>
    </row>
    <row r="142" customFormat="false" ht="15" hidden="false" customHeight="false" outlineLevel="0" collapsed="false">
      <c r="A142" s="12" t="n">
        <v>138</v>
      </c>
      <c r="B142" s="12" t="s">
        <v>203</v>
      </c>
      <c r="C142" s="20" t="n">
        <v>0.166</v>
      </c>
      <c r="D142" s="12" t="s">
        <v>62</v>
      </c>
      <c r="E142" s="12" t="n">
        <v>2</v>
      </c>
      <c r="F142" s="12"/>
      <c r="H142" s="21" t="n">
        <v>1</v>
      </c>
      <c r="I142" s="21" t="n">
        <v>1</v>
      </c>
      <c r="J142" s="21" t="n">
        <v>1</v>
      </c>
      <c r="K142" s="21" t="n">
        <v>1</v>
      </c>
      <c r="L142" s="13" t="n">
        <f aca="false">IF(H142=1,Въвеждане!$B$17/SUM($H$5:$H$261),0)</f>
        <v>88.7096774193548</v>
      </c>
      <c r="M142" s="13" t="n">
        <f aca="false">IF(I142=1,Въвеждане!$B$8/SUM($I$5:$I$261),0)</f>
        <v>3.2520325203252</v>
      </c>
      <c r="N142" s="13" t="n">
        <f aca="false">IF(J142=1,Въвеждане!$B$9*C142/SUMPRODUCT($C$5:$C$261,$J$5:$J$261),0)</f>
        <v>11.1248869081527</v>
      </c>
      <c r="O142" s="13" t="n">
        <f aca="false">IF(K142=1,Въвеждане!$B$10*C142/SUMPRODUCT($C$5:$C$261,$K$5:$K$261),0)</f>
        <v>37.8112978335696</v>
      </c>
      <c r="P142" s="16" t="n">
        <f aca="false">SUM(L142:O142)</f>
        <v>140.897894681402</v>
      </c>
    </row>
    <row r="143" customFormat="false" ht="15" hidden="false" customHeight="false" outlineLevel="0" collapsed="false">
      <c r="A143" s="12" t="n">
        <v>139</v>
      </c>
      <c r="B143" s="12" t="s">
        <v>204</v>
      </c>
      <c r="C143" s="20" t="n">
        <v>0.155</v>
      </c>
      <c r="D143" s="12" t="s">
        <v>62</v>
      </c>
      <c r="E143" s="12" t="n">
        <v>2</v>
      </c>
      <c r="F143" s="12"/>
      <c r="H143" s="21" t="n">
        <v>1</v>
      </c>
      <c r="I143" s="21" t="n">
        <v>1</v>
      </c>
      <c r="J143" s="21" t="n">
        <v>1</v>
      </c>
      <c r="K143" s="21" t="n">
        <v>1</v>
      </c>
      <c r="L143" s="13" t="n">
        <f aca="false">IF(H143=1,Въвеждане!$B$17/SUM($H$5:$H$261),0)</f>
        <v>88.7096774193548</v>
      </c>
      <c r="M143" s="13" t="n">
        <f aca="false">IF(I143=1,Въвеждане!$B$8/SUM($I$5:$I$261),0)</f>
        <v>3.2520325203252</v>
      </c>
      <c r="N143" s="13" t="n">
        <f aca="false">IF(J143=1,Въвеждане!$B$9*C143/SUMPRODUCT($C$5:$C$261,$J$5:$J$261),0)</f>
        <v>10.38769560701</v>
      </c>
      <c r="O143" s="13" t="n">
        <f aca="false">IF(K143=1,Въвеждане!$B$10*C143/SUMPRODUCT($C$5:$C$261,$K$5:$K$261),0)</f>
        <v>35.305729904839</v>
      </c>
      <c r="P143" s="16" t="n">
        <f aca="false">SUM(L143:O143)</f>
        <v>137.655135451529</v>
      </c>
    </row>
    <row r="144" customFormat="false" ht="15" hidden="false" customHeight="false" outlineLevel="0" collapsed="false">
      <c r="A144" s="12" t="n">
        <v>140</v>
      </c>
      <c r="B144" s="12" t="s">
        <v>205</v>
      </c>
      <c r="C144" s="20" t="n">
        <v>0.775</v>
      </c>
      <c r="D144" s="12" t="s">
        <v>62</v>
      </c>
      <c r="E144" s="12" t="n">
        <v>2</v>
      </c>
      <c r="F144" s="12"/>
      <c r="H144" s="21" t="n">
        <v>1</v>
      </c>
      <c r="I144" s="21" t="n">
        <v>1</v>
      </c>
      <c r="J144" s="21" t="n">
        <v>1</v>
      </c>
      <c r="K144" s="21" t="n">
        <v>1</v>
      </c>
      <c r="L144" s="13" t="n">
        <f aca="false">IF(H144=1,Въвеждане!$B$17/SUM($H$5:$H$261),0)</f>
        <v>88.7096774193548</v>
      </c>
      <c r="M144" s="13" t="n">
        <f aca="false">IF(I144=1,Въвеждане!$B$8/SUM($I$5:$I$261),0)</f>
        <v>3.2520325203252</v>
      </c>
      <c r="N144" s="13" t="n">
        <f aca="false">IF(J144=1,Въвеждане!$B$9*C144/SUMPRODUCT($C$5:$C$261,$J$5:$J$261),0)</f>
        <v>51.9384780350501</v>
      </c>
      <c r="O144" s="13" t="n">
        <f aca="false">IF(K144=1,Въвеждане!$B$10*C144/SUMPRODUCT($C$5:$C$261,$K$5:$K$261),0)</f>
        <v>176.528649524195</v>
      </c>
      <c r="P144" s="16" t="n">
        <f aca="false">SUM(L144:O144)</f>
        <v>320.428837498925</v>
      </c>
    </row>
    <row r="145" customFormat="false" ht="15" hidden="false" customHeight="false" outlineLevel="0" collapsed="false">
      <c r="A145" s="12" t="n">
        <v>141</v>
      </c>
      <c r="B145" s="12" t="s">
        <v>206</v>
      </c>
      <c r="C145" s="20" t="n">
        <v>0.216</v>
      </c>
      <c r="D145" s="12" t="s">
        <v>62</v>
      </c>
      <c r="E145" s="12" t="n">
        <v>2</v>
      </c>
      <c r="F145" s="12"/>
      <c r="H145" s="21" t="n">
        <v>1</v>
      </c>
      <c r="I145" s="21" t="n">
        <v>1</v>
      </c>
      <c r="J145" s="21" t="n">
        <v>1</v>
      </c>
      <c r="K145" s="21" t="n">
        <v>1</v>
      </c>
      <c r="L145" s="13" t="n">
        <f aca="false">IF(H145=1,Въвеждане!$B$17/SUM($H$5:$H$261),0)</f>
        <v>88.7096774193548</v>
      </c>
      <c r="M145" s="13" t="n">
        <f aca="false">IF(I145=1,Въвеждане!$B$8/SUM($I$5:$I$261),0)</f>
        <v>3.2520325203252</v>
      </c>
      <c r="N145" s="13" t="n">
        <f aca="false">IF(J145=1,Въвеждане!$B$9*C145/SUMPRODUCT($C$5:$C$261,$J$5:$J$261),0)</f>
        <v>14.4757564588011</v>
      </c>
      <c r="O145" s="13" t="n">
        <f aca="false">IF(K145=1,Въвеждане!$B$10*C145/SUMPRODUCT($C$5:$C$261,$K$5:$K$261),0)</f>
        <v>49.2002429641628</v>
      </c>
      <c r="P145" s="16" t="n">
        <f aca="false">SUM(L145:O145)</f>
        <v>155.637709362644</v>
      </c>
    </row>
    <row r="146" customFormat="false" ht="15" hidden="false" customHeight="false" outlineLevel="0" collapsed="false">
      <c r="A146" s="12" t="n">
        <v>142</v>
      </c>
      <c r="B146" s="12" t="s">
        <v>207</v>
      </c>
      <c r="C146" s="20" t="n">
        <v>0.107</v>
      </c>
      <c r="D146" s="12" t="s">
        <v>62</v>
      </c>
      <c r="E146" s="12" t="n">
        <v>2</v>
      </c>
      <c r="F146" s="12"/>
      <c r="H146" s="21" t="n">
        <v>1</v>
      </c>
      <c r="I146" s="21" t="n">
        <v>1</v>
      </c>
      <c r="J146" s="21" t="n">
        <v>1</v>
      </c>
      <c r="K146" s="21" t="n">
        <v>1</v>
      </c>
      <c r="L146" s="13" t="n">
        <f aca="false">IF(H146=1,Въвеждане!$B$17/SUM($H$5:$H$261),0)</f>
        <v>88.7096774193548</v>
      </c>
      <c r="M146" s="13" t="n">
        <f aca="false">IF(I146=1,Въвеждане!$B$8/SUM($I$5:$I$261),0)</f>
        <v>3.2520325203252</v>
      </c>
      <c r="N146" s="13" t="n">
        <f aca="false">IF(J146=1,Въвеждане!$B$9*C146/SUMPRODUCT($C$5:$C$261,$J$5:$J$261),0)</f>
        <v>7.17086083838756</v>
      </c>
      <c r="O146" s="13" t="n">
        <f aca="false">IF(K146=1,Въвеждане!$B$10*C146/SUMPRODUCT($C$5:$C$261,$K$5:$K$261),0)</f>
        <v>24.3723425794695</v>
      </c>
      <c r="P146" s="16" t="n">
        <f aca="false">SUM(L146:O146)</f>
        <v>123.504913357537</v>
      </c>
    </row>
    <row r="147" customFormat="false" ht="15" hidden="false" customHeight="false" outlineLevel="0" collapsed="false">
      <c r="A147" s="12" t="n">
        <v>143</v>
      </c>
      <c r="B147" s="12" t="s">
        <v>208</v>
      </c>
      <c r="C147" s="20" t="n">
        <v>0.114</v>
      </c>
      <c r="D147" s="12" t="s">
        <v>62</v>
      </c>
      <c r="E147" s="12" t="n">
        <v>2</v>
      </c>
      <c r="F147" s="12"/>
      <c r="H147" s="21" t="n">
        <v>1</v>
      </c>
      <c r="I147" s="21" t="n">
        <v>1</v>
      </c>
      <c r="J147" s="21" t="n">
        <v>1</v>
      </c>
      <c r="K147" s="21" t="n">
        <v>1</v>
      </c>
      <c r="L147" s="13" t="n">
        <f aca="false">IF(H147=1,Въвеждане!$B$17/SUM($H$5:$H$261),0)</f>
        <v>88.7096774193548</v>
      </c>
      <c r="M147" s="13" t="n">
        <f aca="false">IF(I147=1,Въвеждане!$B$8/SUM($I$5:$I$261),0)</f>
        <v>3.2520325203252</v>
      </c>
      <c r="N147" s="13" t="n">
        <f aca="false">IF(J147=1,Въвеждане!$B$9*C147/SUMPRODUCT($C$5:$C$261,$J$5:$J$261),0)</f>
        <v>7.63998257547834</v>
      </c>
      <c r="O147" s="13" t="n">
        <f aca="false">IF(K147=1,Въвеждане!$B$10*C147/SUMPRODUCT($C$5:$C$261,$K$5:$K$261),0)</f>
        <v>25.9667948977526</v>
      </c>
      <c r="P147" s="16" t="n">
        <f aca="false">SUM(L147:O147)</f>
        <v>125.568487412911</v>
      </c>
    </row>
    <row r="148" customFormat="false" ht="15" hidden="false" customHeight="false" outlineLevel="0" collapsed="false">
      <c r="A148" s="12" t="n">
        <v>144</v>
      </c>
      <c r="B148" s="12" t="s">
        <v>209</v>
      </c>
      <c r="C148" s="20" t="n">
        <v>0.212</v>
      </c>
      <c r="D148" s="12" t="s">
        <v>62</v>
      </c>
      <c r="E148" s="12" t="n">
        <v>2</v>
      </c>
      <c r="F148" s="12"/>
      <c r="H148" s="21" t="n">
        <v>1</v>
      </c>
      <c r="I148" s="21" t="n">
        <v>1</v>
      </c>
      <c r="J148" s="21" t="n">
        <v>1</v>
      </c>
      <c r="K148" s="21" t="n">
        <v>1</v>
      </c>
      <c r="L148" s="13" t="n">
        <f aca="false">IF(H148=1,Въвеждане!$B$17/SUM($H$5:$H$261),0)</f>
        <v>88.7096774193548</v>
      </c>
      <c r="M148" s="13" t="n">
        <f aca="false">IF(I148=1,Въвеждане!$B$8/SUM($I$5:$I$261),0)</f>
        <v>3.2520325203252</v>
      </c>
      <c r="N148" s="13" t="n">
        <f aca="false">IF(J148=1,Въвеждане!$B$9*C148/SUMPRODUCT($C$5:$C$261,$J$5:$J$261),0)</f>
        <v>14.2076868947492</v>
      </c>
      <c r="O148" s="13" t="n">
        <f aca="false">IF(K148=1,Въвеждане!$B$10*C148/SUMPRODUCT($C$5:$C$261,$K$5:$K$261),0)</f>
        <v>48.2891273537153</v>
      </c>
      <c r="P148" s="16" t="n">
        <f aca="false">SUM(L148:O148)</f>
        <v>154.458524188145</v>
      </c>
    </row>
    <row r="149" customFormat="false" ht="15" hidden="false" customHeight="false" outlineLevel="0" collapsed="false">
      <c r="A149" s="12" t="n">
        <v>145</v>
      </c>
      <c r="B149" s="12" t="s">
        <v>210</v>
      </c>
      <c r="C149" s="20" t="n">
        <v>0.194</v>
      </c>
      <c r="D149" s="12" t="s">
        <v>62</v>
      </c>
      <c r="E149" s="12" t="n">
        <v>2</v>
      </c>
      <c r="F149" s="12"/>
      <c r="H149" s="21" t="n">
        <v>1</v>
      </c>
      <c r="I149" s="21" t="n">
        <v>1</v>
      </c>
      <c r="J149" s="21" t="n">
        <v>1</v>
      </c>
      <c r="K149" s="21" t="n">
        <v>1</v>
      </c>
      <c r="L149" s="13" t="n">
        <f aca="false">IF(H149=1,Въвеждане!$B$17/SUM($H$5:$H$261),0)</f>
        <v>88.7096774193548</v>
      </c>
      <c r="M149" s="13" t="n">
        <f aca="false">IF(I149=1,Въвеждане!$B$8/SUM($I$5:$I$261),0)</f>
        <v>3.2520325203252</v>
      </c>
      <c r="N149" s="13" t="n">
        <f aca="false">IF(J149=1,Въвеждане!$B$9*C149/SUMPRODUCT($C$5:$C$261,$J$5:$J$261),0)</f>
        <v>13.0013738565158</v>
      </c>
      <c r="O149" s="13" t="n">
        <f aca="false">IF(K149=1,Въвеждане!$B$10*C149/SUMPRODUCT($C$5:$C$261,$K$5:$K$261),0)</f>
        <v>44.1891071067018</v>
      </c>
      <c r="P149" s="16" t="n">
        <f aca="false">SUM(L149:O149)</f>
        <v>149.152190902898</v>
      </c>
    </row>
    <row r="150" customFormat="false" ht="15" hidden="false" customHeight="false" outlineLevel="0" collapsed="false">
      <c r="A150" s="12" t="n">
        <v>146</v>
      </c>
      <c r="B150" s="12" t="s">
        <v>211</v>
      </c>
      <c r="C150" s="20" t="n">
        <v>0.164</v>
      </c>
      <c r="D150" s="12" t="s">
        <v>62</v>
      </c>
      <c r="E150" s="12" t="n">
        <v>2</v>
      </c>
      <c r="F150" s="12"/>
      <c r="H150" s="21" t="n">
        <v>1</v>
      </c>
      <c r="I150" s="21" t="n">
        <v>1</v>
      </c>
      <c r="J150" s="21" t="n">
        <v>1</v>
      </c>
      <c r="K150" s="21" t="n">
        <v>1</v>
      </c>
      <c r="L150" s="13" t="n">
        <f aca="false">IF(H150=1,Въвеждане!$B$17/SUM($H$5:$H$261),0)</f>
        <v>88.7096774193548</v>
      </c>
      <c r="M150" s="13" t="n">
        <f aca="false">IF(I150=1,Въвеждане!$B$8/SUM($I$5:$I$261),0)</f>
        <v>3.2520325203252</v>
      </c>
      <c r="N150" s="13" t="n">
        <f aca="false">IF(J150=1,Въвеждане!$B$9*C150/SUMPRODUCT($C$5:$C$261,$J$5:$J$261),0)</f>
        <v>10.9908521261267</v>
      </c>
      <c r="O150" s="13" t="n">
        <f aca="false">IF(K150=1,Въвеждане!$B$10*C150/SUMPRODUCT($C$5:$C$261,$K$5:$K$261),0)</f>
        <v>37.3557400283458</v>
      </c>
      <c r="P150" s="16" t="n">
        <f aca="false">SUM(L150:O150)</f>
        <v>140.308302094153</v>
      </c>
    </row>
    <row r="151" customFormat="false" ht="15" hidden="false" customHeight="false" outlineLevel="0" collapsed="false">
      <c r="A151" s="12" t="n">
        <v>147</v>
      </c>
      <c r="B151" s="12" t="s">
        <v>212</v>
      </c>
      <c r="C151" s="20" t="n">
        <v>0.17</v>
      </c>
      <c r="D151" s="12" t="s">
        <v>62</v>
      </c>
      <c r="E151" s="12" t="n">
        <v>3</v>
      </c>
      <c r="F151" s="12"/>
      <c r="H151" s="21" t="n">
        <v>1</v>
      </c>
      <c r="I151" s="21" t="n">
        <v>1</v>
      </c>
      <c r="J151" s="21" t="n">
        <v>1</v>
      </c>
      <c r="K151" s="21" t="n">
        <v>1</v>
      </c>
      <c r="L151" s="13" t="n">
        <f aca="false">IF(H151=1,Въвеждане!$B$17/SUM($H$5:$H$261),0)</f>
        <v>88.7096774193548</v>
      </c>
      <c r="M151" s="13" t="n">
        <f aca="false">IF(I151=1,Въвеждане!$B$8/SUM($I$5:$I$261),0)</f>
        <v>3.2520325203252</v>
      </c>
      <c r="N151" s="13" t="n">
        <f aca="false">IF(J151=1,Въвеждане!$B$9*C151/SUMPRODUCT($C$5:$C$261,$J$5:$J$261),0)</f>
        <v>11.3929564722045</v>
      </c>
      <c r="O151" s="13" t="n">
        <f aca="false">IF(K151=1,Въвеждане!$B$10*C151/SUMPRODUCT($C$5:$C$261,$K$5:$K$261),0)</f>
        <v>38.722413444017</v>
      </c>
      <c r="P151" s="16" t="n">
        <f aca="false">SUM(L151:O151)</f>
        <v>142.077079855902</v>
      </c>
    </row>
    <row r="152" customFormat="false" ht="15" hidden="false" customHeight="false" outlineLevel="0" collapsed="false">
      <c r="A152" s="12" t="n">
        <v>148</v>
      </c>
      <c r="B152" s="12" t="s">
        <v>213</v>
      </c>
      <c r="C152" s="20" t="n">
        <v>0.165</v>
      </c>
      <c r="D152" s="12" t="s">
        <v>62</v>
      </c>
      <c r="E152" s="12" t="n">
        <v>3</v>
      </c>
      <c r="F152" s="12"/>
      <c r="H152" s="21" t="n">
        <v>1</v>
      </c>
      <c r="I152" s="21" t="n">
        <v>1</v>
      </c>
      <c r="J152" s="21" t="n">
        <v>1</v>
      </c>
      <c r="K152" s="21" t="n">
        <v>1</v>
      </c>
      <c r="L152" s="13" t="n">
        <f aca="false">IF(H152=1,Въвеждане!$B$17/SUM($H$5:$H$261),0)</f>
        <v>88.7096774193548</v>
      </c>
      <c r="M152" s="13" t="n">
        <f aca="false">IF(I152=1,Въвеждане!$B$8/SUM($I$5:$I$261),0)</f>
        <v>3.2520325203252</v>
      </c>
      <c r="N152" s="13" t="n">
        <f aca="false">IF(J152=1,Въвеждане!$B$9*C152/SUMPRODUCT($C$5:$C$261,$J$5:$J$261),0)</f>
        <v>11.0578695171397</v>
      </c>
      <c r="O152" s="13" t="n">
        <f aca="false">IF(K152=1,Въвеждане!$B$10*C152/SUMPRODUCT($C$5:$C$261,$K$5:$K$261),0)</f>
        <v>37.5835189309577</v>
      </c>
      <c r="P152" s="16" t="n">
        <f aca="false">SUM(L152:O152)</f>
        <v>140.603098387777</v>
      </c>
    </row>
    <row r="153" customFormat="false" ht="15" hidden="false" customHeight="false" outlineLevel="0" collapsed="false">
      <c r="A153" s="12" t="n">
        <v>149</v>
      </c>
      <c r="B153" s="12" t="s">
        <v>214</v>
      </c>
      <c r="C153" s="20" t="n">
        <v>0.171</v>
      </c>
      <c r="D153" s="12" t="s">
        <v>62</v>
      </c>
      <c r="E153" s="12" t="n">
        <v>3</v>
      </c>
      <c r="F153" s="12"/>
      <c r="H153" s="21" t="n">
        <v>1</v>
      </c>
      <c r="I153" s="21" t="n">
        <v>1</v>
      </c>
      <c r="J153" s="21" t="n">
        <v>1</v>
      </c>
      <c r="K153" s="21" t="n">
        <v>1</v>
      </c>
      <c r="L153" s="13" t="n">
        <f aca="false">IF(H153=1,Въвеждане!$B$17/SUM($H$5:$H$261),0)</f>
        <v>88.7096774193548</v>
      </c>
      <c r="M153" s="13" t="n">
        <f aca="false">IF(I153=1,Въвеждане!$B$8/SUM($I$5:$I$261),0)</f>
        <v>3.2520325203252</v>
      </c>
      <c r="N153" s="13" t="n">
        <f aca="false">IF(J153=1,Въвеждане!$B$9*C153/SUMPRODUCT($C$5:$C$261,$J$5:$J$261),0)</f>
        <v>11.4599738632175</v>
      </c>
      <c r="O153" s="13" t="n">
        <f aca="false">IF(K153=1,Въвеждане!$B$10*C153/SUMPRODUCT($C$5:$C$261,$K$5:$K$261),0)</f>
        <v>38.9501923466289</v>
      </c>
      <c r="P153" s="16" t="n">
        <f aca="false">SUM(L153:O153)</f>
        <v>142.371876149526</v>
      </c>
    </row>
    <row r="154" customFormat="false" ht="15" hidden="false" customHeight="false" outlineLevel="0" collapsed="false">
      <c r="A154" s="12" t="n">
        <v>150</v>
      </c>
      <c r="B154" s="12" t="s">
        <v>215</v>
      </c>
      <c r="C154" s="20" t="n">
        <v>0.171</v>
      </c>
      <c r="D154" s="12" t="s">
        <v>62</v>
      </c>
      <c r="E154" s="12" t="n">
        <v>3</v>
      </c>
      <c r="F154" s="12"/>
      <c r="H154" s="21" t="n">
        <v>1</v>
      </c>
      <c r="I154" s="21" t="n">
        <v>1</v>
      </c>
      <c r="J154" s="21" t="n">
        <v>1</v>
      </c>
      <c r="K154" s="21" t="n">
        <v>1</v>
      </c>
      <c r="L154" s="13" t="n">
        <f aca="false">IF(H154=1,Въвеждане!$B$17/SUM($H$5:$H$261),0)</f>
        <v>88.7096774193548</v>
      </c>
      <c r="M154" s="13" t="n">
        <f aca="false">IF(I154=1,Въвеждане!$B$8/SUM($I$5:$I$261),0)</f>
        <v>3.2520325203252</v>
      </c>
      <c r="N154" s="13" t="n">
        <f aca="false">IF(J154=1,Въвеждане!$B$9*C154/SUMPRODUCT($C$5:$C$261,$J$5:$J$261),0)</f>
        <v>11.4599738632175</v>
      </c>
      <c r="O154" s="13" t="n">
        <f aca="false">IF(K154=1,Въвеждане!$B$10*C154/SUMPRODUCT($C$5:$C$261,$K$5:$K$261),0)</f>
        <v>38.9501923466289</v>
      </c>
      <c r="P154" s="16" t="n">
        <f aca="false">SUM(L154:O154)</f>
        <v>142.371876149526</v>
      </c>
    </row>
    <row r="155" customFormat="false" ht="15" hidden="false" customHeight="false" outlineLevel="0" collapsed="false">
      <c r="A155" s="12" t="n">
        <v>151</v>
      </c>
      <c r="B155" s="12" t="s">
        <v>216</v>
      </c>
      <c r="C155" s="20" t="n">
        <v>0.165</v>
      </c>
      <c r="D155" s="12" t="s">
        <v>62</v>
      </c>
      <c r="E155" s="12" t="n">
        <v>3</v>
      </c>
      <c r="F155" s="12"/>
      <c r="H155" s="21" t="n">
        <v>1</v>
      </c>
      <c r="I155" s="21" t="n">
        <v>1</v>
      </c>
      <c r="J155" s="21" t="n">
        <v>1</v>
      </c>
      <c r="K155" s="21" t="n">
        <v>1</v>
      </c>
      <c r="L155" s="13" t="n">
        <f aca="false">IF(H155=1,Въвеждане!$B$17/SUM($H$5:$H$261),0)</f>
        <v>88.7096774193548</v>
      </c>
      <c r="M155" s="13" t="n">
        <f aca="false">IF(I155=1,Въвеждане!$B$8/SUM($I$5:$I$261),0)</f>
        <v>3.2520325203252</v>
      </c>
      <c r="N155" s="13" t="n">
        <f aca="false">IF(J155=1,Въвеждане!$B$9*C155/SUMPRODUCT($C$5:$C$261,$J$5:$J$261),0)</f>
        <v>11.0578695171397</v>
      </c>
      <c r="O155" s="13" t="n">
        <f aca="false">IF(K155=1,Въвеждане!$B$10*C155/SUMPRODUCT($C$5:$C$261,$K$5:$K$261),0)</f>
        <v>37.5835189309577</v>
      </c>
      <c r="P155" s="16" t="n">
        <f aca="false">SUM(L155:O155)</f>
        <v>140.603098387777</v>
      </c>
    </row>
    <row r="156" customFormat="false" ht="15" hidden="false" customHeight="false" outlineLevel="0" collapsed="false">
      <c r="A156" s="12" t="n">
        <v>152</v>
      </c>
      <c r="B156" s="12" t="s">
        <v>217</v>
      </c>
      <c r="C156" s="20" t="n">
        <v>0.18</v>
      </c>
      <c r="D156" s="12" t="s">
        <v>62</v>
      </c>
      <c r="E156" s="12" t="n">
        <v>3</v>
      </c>
      <c r="F156" s="12"/>
      <c r="H156" s="21" t="n">
        <v>1</v>
      </c>
      <c r="I156" s="21" t="n">
        <v>1</v>
      </c>
      <c r="J156" s="21" t="n">
        <v>1</v>
      </c>
      <c r="K156" s="21" t="n">
        <v>1</v>
      </c>
      <c r="L156" s="13" t="n">
        <f aca="false">IF(H156=1,Въвеждане!$B$17/SUM($H$5:$H$261),0)</f>
        <v>88.7096774193548</v>
      </c>
      <c r="M156" s="13" t="n">
        <f aca="false">IF(I156=1,Въвеждане!$B$8/SUM($I$5:$I$261),0)</f>
        <v>3.2520325203252</v>
      </c>
      <c r="N156" s="13" t="n">
        <f aca="false">IF(J156=1,Въвеждане!$B$9*C156/SUMPRODUCT($C$5:$C$261,$J$5:$J$261),0)</f>
        <v>12.0631303823342</v>
      </c>
      <c r="O156" s="13" t="n">
        <f aca="false">IF(K156=1,Въвеждане!$B$10*C156/SUMPRODUCT($C$5:$C$261,$K$5:$K$261),0)</f>
        <v>41.0002024701357</v>
      </c>
      <c r="P156" s="16" t="n">
        <f aca="false">SUM(L156:O156)</f>
        <v>145.02504279215</v>
      </c>
    </row>
    <row r="157" customFormat="false" ht="15" hidden="false" customHeight="false" outlineLevel="0" collapsed="false">
      <c r="A157" s="12" t="n">
        <v>153</v>
      </c>
      <c r="B157" s="12" t="s">
        <v>218</v>
      </c>
      <c r="C157" s="20" t="n">
        <v>0.178</v>
      </c>
      <c r="D157" s="12" t="s">
        <v>62</v>
      </c>
      <c r="E157" s="12" t="n">
        <v>3</v>
      </c>
      <c r="F157" s="12"/>
      <c r="H157" s="21" t="n">
        <v>1</v>
      </c>
      <c r="I157" s="21" t="n">
        <v>1</v>
      </c>
      <c r="J157" s="21" t="n">
        <v>1</v>
      </c>
      <c r="K157" s="21" t="n">
        <v>1</v>
      </c>
      <c r="L157" s="13" t="n">
        <f aca="false">IF(H157=1,Въвеждане!$B$17/SUM($H$5:$H$261),0)</f>
        <v>88.7096774193548</v>
      </c>
      <c r="M157" s="13" t="n">
        <f aca="false">IF(I157=1,Въвеждане!$B$8/SUM($I$5:$I$261),0)</f>
        <v>3.2520325203252</v>
      </c>
      <c r="N157" s="13" t="n">
        <f aca="false">IF(J157=1,Въвеждане!$B$9*C157/SUMPRODUCT($C$5:$C$261,$J$5:$J$261),0)</f>
        <v>11.9290956003083</v>
      </c>
      <c r="O157" s="13" t="n">
        <f aca="false">IF(K157=1,Въвеждане!$B$10*C157/SUMPRODUCT($C$5:$C$261,$K$5:$K$261),0)</f>
        <v>40.5446446649119</v>
      </c>
      <c r="P157" s="16" t="n">
        <f aca="false">SUM(L157:O157)</f>
        <v>144.4354502049</v>
      </c>
    </row>
    <row r="158" customFormat="false" ht="15" hidden="false" customHeight="false" outlineLevel="0" collapsed="false">
      <c r="A158" s="12" t="n">
        <v>154</v>
      </c>
      <c r="B158" s="12" t="s">
        <v>219</v>
      </c>
      <c r="C158" s="20" t="n">
        <v>0.163</v>
      </c>
      <c r="D158" s="12" t="s">
        <v>62</v>
      </c>
      <c r="E158" s="12" t="n">
        <v>3</v>
      </c>
      <c r="F158" s="12"/>
      <c r="H158" s="21" t="n">
        <v>1</v>
      </c>
      <c r="I158" s="21" t="n">
        <v>1</v>
      </c>
      <c r="J158" s="21" t="n">
        <v>1</v>
      </c>
      <c r="K158" s="21" t="n">
        <v>1</v>
      </c>
      <c r="L158" s="13" t="n">
        <f aca="false">IF(H158=1,Въвеждане!$B$17/SUM($H$5:$H$261),0)</f>
        <v>88.7096774193548</v>
      </c>
      <c r="M158" s="13" t="n">
        <f aca="false">IF(I158=1,Въвеждане!$B$8/SUM($I$5:$I$261),0)</f>
        <v>3.2520325203252</v>
      </c>
      <c r="N158" s="13" t="n">
        <f aca="false">IF(J158=1,Въвеждане!$B$9*C158/SUMPRODUCT($C$5:$C$261,$J$5:$J$261),0)</f>
        <v>10.9238347351138</v>
      </c>
      <c r="O158" s="13" t="n">
        <f aca="false">IF(K158=1,Въвеждане!$B$10*C158/SUMPRODUCT($C$5:$C$261,$K$5:$K$261),0)</f>
        <v>37.127961125734</v>
      </c>
      <c r="P158" s="16" t="n">
        <f aca="false">SUM(L158:O158)</f>
        <v>140.013505800528</v>
      </c>
    </row>
    <row r="159" customFormat="false" ht="15" hidden="false" customHeight="false" outlineLevel="0" collapsed="false">
      <c r="A159" s="12" t="n">
        <v>155</v>
      </c>
      <c r="B159" s="12" t="s">
        <v>220</v>
      </c>
      <c r="C159" s="20" t="n">
        <v>0.174</v>
      </c>
      <c r="D159" s="12" t="s">
        <v>62</v>
      </c>
      <c r="E159" s="12" t="n">
        <v>3</v>
      </c>
      <c r="F159" s="12"/>
      <c r="H159" s="21" t="n">
        <v>1</v>
      </c>
      <c r="I159" s="21" t="n">
        <v>1</v>
      </c>
      <c r="J159" s="21" t="n">
        <v>1</v>
      </c>
      <c r="K159" s="21" t="n">
        <v>1</v>
      </c>
      <c r="L159" s="13" t="n">
        <f aca="false">IF(H159=1,Въвеждане!$B$17/SUM($H$5:$H$261),0)</f>
        <v>88.7096774193548</v>
      </c>
      <c r="M159" s="13" t="n">
        <f aca="false">IF(I159=1,Въвеждане!$B$8/SUM($I$5:$I$261),0)</f>
        <v>3.2520325203252</v>
      </c>
      <c r="N159" s="13" t="n">
        <f aca="false">IF(J159=1,Въвеждане!$B$9*C159/SUMPRODUCT($C$5:$C$261,$J$5:$J$261),0)</f>
        <v>11.6610260362564</v>
      </c>
      <c r="O159" s="13" t="n">
        <f aca="false">IF(K159=1,Въвеждане!$B$10*C159/SUMPRODUCT($C$5:$C$261,$K$5:$K$261),0)</f>
        <v>39.6335290544645</v>
      </c>
      <c r="P159" s="16" t="n">
        <f aca="false">SUM(L159:O159)</f>
        <v>143.256265030401</v>
      </c>
    </row>
    <row r="160" customFormat="false" ht="15" hidden="false" customHeight="false" outlineLevel="0" collapsed="false">
      <c r="A160" s="12" t="n">
        <v>156</v>
      </c>
      <c r="B160" s="12" t="s">
        <v>221</v>
      </c>
      <c r="C160" s="20" t="n">
        <v>0.217</v>
      </c>
      <c r="D160" s="12" t="s">
        <v>62</v>
      </c>
      <c r="E160" s="12" t="n">
        <v>3</v>
      </c>
      <c r="F160" s="12"/>
      <c r="H160" s="21" t="n">
        <v>1</v>
      </c>
      <c r="I160" s="21" t="n">
        <v>1</v>
      </c>
      <c r="J160" s="21" t="n">
        <v>1</v>
      </c>
      <c r="K160" s="21" t="n">
        <v>1</v>
      </c>
      <c r="L160" s="13" t="n">
        <f aca="false">IF(H160=1,Въвеждане!$B$17/SUM($H$5:$H$261),0)</f>
        <v>88.7096774193548</v>
      </c>
      <c r="M160" s="13" t="n">
        <f aca="false">IF(I160=1,Въвеждане!$B$8/SUM($I$5:$I$261),0)</f>
        <v>3.2520325203252</v>
      </c>
      <c r="N160" s="13" t="n">
        <f aca="false">IF(J160=1,Въвеждане!$B$9*C160/SUMPRODUCT($C$5:$C$261,$J$5:$J$261),0)</f>
        <v>14.542773849814</v>
      </c>
      <c r="O160" s="13" t="n">
        <f aca="false">IF(K160=1,Въвеждане!$B$10*C160/SUMPRODUCT($C$5:$C$261,$K$5:$K$261),0)</f>
        <v>49.4280218667747</v>
      </c>
      <c r="P160" s="16" t="n">
        <f aca="false">SUM(L160:O160)</f>
        <v>155.932505656269</v>
      </c>
    </row>
    <row r="161" customFormat="false" ht="15" hidden="false" customHeight="false" outlineLevel="0" collapsed="false">
      <c r="A161" s="12" t="n">
        <v>157</v>
      </c>
      <c r="B161" s="12" t="s">
        <v>222</v>
      </c>
      <c r="C161" s="20" t="n">
        <v>0.168</v>
      </c>
      <c r="D161" s="12" t="s">
        <v>62</v>
      </c>
      <c r="E161" s="12" t="n">
        <v>3</v>
      </c>
      <c r="F161" s="12"/>
      <c r="H161" s="21" t="n">
        <v>1</v>
      </c>
      <c r="I161" s="21" t="n">
        <v>1</v>
      </c>
      <c r="J161" s="21" t="n">
        <v>1</v>
      </c>
      <c r="K161" s="21" t="n">
        <v>1</v>
      </c>
      <c r="L161" s="13" t="n">
        <f aca="false">IF(H161=1,Въвеждане!$B$17/SUM($H$5:$H$261),0)</f>
        <v>88.7096774193548</v>
      </c>
      <c r="M161" s="13" t="n">
        <f aca="false">IF(I161=1,Въвеждане!$B$8/SUM($I$5:$I$261),0)</f>
        <v>3.2520325203252</v>
      </c>
      <c r="N161" s="13" t="n">
        <f aca="false">IF(J161=1,Въвеждане!$B$9*C161/SUMPRODUCT($C$5:$C$261,$J$5:$J$261),0)</f>
        <v>11.2589216901786</v>
      </c>
      <c r="O161" s="13" t="n">
        <f aca="false">IF(K161=1,Въвеждане!$B$10*C161/SUMPRODUCT($C$5:$C$261,$K$5:$K$261),0)</f>
        <v>38.2668556387933</v>
      </c>
      <c r="P161" s="16" t="n">
        <f aca="false">SUM(L161:O161)</f>
        <v>141.487487268652</v>
      </c>
    </row>
    <row r="162" customFormat="false" ht="15" hidden="false" customHeight="false" outlineLevel="0" collapsed="false">
      <c r="A162" s="12" t="n">
        <v>158</v>
      </c>
      <c r="B162" s="12" t="s">
        <v>223</v>
      </c>
      <c r="C162" s="20" t="n">
        <v>0.166</v>
      </c>
      <c r="D162" s="12" t="s">
        <v>62</v>
      </c>
      <c r="E162" s="12" t="n">
        <v>3</v>
      </c>
      <c r="F162" s="12"/>
      <c r="H162" s="21" t="n">
        <v>1</v>
      </c>
      <c r="I162" s="21" t="n">
        <v>1</v>
      </c>
      <c r="J162" s="21" t="n">
        <v>1</v>
      </c>
      <c r="K162" s="21" t="n">
        <v>1</v>
      </c>
      <c r="L162" s="13" t="n">
        <f aca="false">IF(H162=1,Въвеждане!$B$17/SUM($H$5:$H$261),0)</f>
        <v>88.7096774193548</v>
      </c>
      <c r="M162" s="13" t="n">
        <f aca="false">IF(I162=1,Въвеждане!$B$8/SUM($I$5:$I$261),0)</f>
        <v>3.2520325203252</v>
      </c>
      <c r="N162" s="13" t="n">
        <f aca="false">IF(J162=1,Въвеждане!$B$9*C162/SUMPRODUCT($C$5:$C$261,$J$5:$J$261),0)</f>
        <v>11.1248869081527</v>
      </c>
      <c r="O162" s="13" t="n">
        <f aca="false">IF(K162=1,Въвеждане!$B$10*C162/SUMPRODUCT($C$5:$C$261,$K$5:$K$261),0)</f>
        <v>37.8112978335696</v>
      </c>
      <c r="P162" s="16" t="n">
        <f aca="false">SUM(L162:O162)</f>
        <v>140.897894681402</v>
      </c>
    </row>
    <row r="163" customFormat="false" ht="15" hidden="false" customHeight="false" outlineLevel="0" collapsed="false">
      <c r="A163" s="12" t="n">
        <v>159</v>
      </c>
      <c r="B163" s="12" t="s">
        <v>224</v>
      </c>
      <c r="C163" s="20" t="n">
        <v>0.217</v>
      </c>
      <c r="D163" s="12" t="s">
        <v>62</v>
      </c>
      <c r="E163" s="12" t="n">
        <v>3</v>
      </c>
      <c r="F163" s="12"/>
      <c r="H163" s="21" t="n">
        <v>1</v>
      </c>
      <c r="I163" s="21" t="n">
        <v>1</v>
      </c>
      <c r="J163" s="21" t="n">
        <v>1</v>
      </c>
      <c r="K163" s="21" t="n">
        <v>1</v>
      </c>
      <c r="L163" s="13" t="n">
        <f aca="false">IF(H163=1,Въвеждане!$B$17/SUM($H$5:$H$261),0)</f>
        <v>88.7096774193548</v>
      </c>
      <c r="M163" s="13" t="n">
        <f aca="false">IF(I163=1,Въвеждане!$B$8/SUM($I$5:$I$261),0)</f>
        <v>3.2520325203252</v>
      </c>
      <c r="N163" s="13" t="n">
        <f aca="false">IF(J163=1,Въвеждане!$B$9*C163/SUMPRODUCT($C$5:$C$261,$J$5:$J$261),0)</f>
        <v>14.542773849814</v>
      </c>
      <c r="O163" s="13" t="n">
        <f aca="false">IF(K163=1,Въвеждане!$B$10*C163/SUMPRODUCT($C$5:$C$261,$K$5:$K$261),0)</f>
        <v>49.4280218667747</v>
      </c>
      <c r="P163" s="16" t="n">
        <f aca="false">SUM(L163:O163)</f>
        <v>155.932505656269</v>
      </c>
    </row>
    <row r="164" customFormat="false" ht="15" hidden="false" customHeight="false" outlineLevel="0" collapsed="false">
      <c r="A164" s="12" t="n">
        <v>160</v>
      </c>
      <c r="B164" s="12" t="s">
        <v>225</v>
      </c>
      <c r="C164" s="20" t="n">
        <v>0.168</v>
      </c>
      <c r="D164" s="12" t="s">
        <v>62</v>
      </c>
      <c r="E164" s="12" t="n">
        <v>3</v>
      </c>
      <c r="F164" s="12"/>
      <c r="H164" s="21" t="n">
        <v>1</v>
      </c>
      <c r="I164" s="21" t="n">
        <v>1</v>
      </c>
      <c r="J164" s="21" t="n">
        <v>1</v>
      </c>
      <c r="K164" s="21" t="n">
        <v>1</v>
      </c>
      <c r="L164" s="13" t="n">
        <f aca="false">IF(H164=1,Въвеждане!$B$17/SUM($H$5:$H$261),0)</f>
        <v>88.7096774193548</v>
      </c>
      <c r="M164" s="13" t="n">
        <f aca="false">IF(I164=1,Въвеждане!$B$8/SUM($I$5:$I$261),0)</f>
        <v>3.2520325203252</v>
      </c>
      <c r="N164" s="13" t="n">
        <f aca="false">IF(J164=1,Въвеждане!$B$9*C164/SUMPRODUCT($C$5:$C$261,$J$5:$J$261),0)</f>
        <v>11.2589216901786</v>
      </c>
      <c r="O164" s="13" t="n">
        <f aca="false">IF(K164=1,Въвеждане!$B$10*C164/SUMPRODUCT($C$5:$C$261,$K$5:$K$261),0)</f>
        <v>38.2668556387933</v>
      </c>
      <c r="P164" s="16" t="n">
        <f aca="false">SUM(L164:O164)</f>
        <v>141.487487268652</v>
      </c>
    </row>
    <row r="165" customFormat="false" ht="15" hidden="false" customHeight="false" outlineLevel="0" collapsed="false">
      <c r="A165" s="12" t="n">
        <v>161</v>
      </c>
      <c r="B165" s="12" t="s">
        <v>226</v>
      </c>
      <c r="C165" s="20" t="n">
        <v>0.169</v>
      </c>
      <c r="D165" s="12" t="s">
        <v>62</v>
      </c>
      <c r="E165" s="12" t="n">
        <v>3</v>
      </c>
      <c r="F165" s="12"/>
      <c r="H165" s="21" t="n">
        <v>1</v>
      </c>
      <c r="I165" s="21" t="n">
        <v>1</v>
      </c>
      <c r="J165" s="21" t="n">
        <v>1</v>
      </c>
      <c r="K165" s="21" t="n">
        <v>1</v>
      </c>
      <c r="L165" s="13" t="n">
        <f aca="false">IF(H165=1,Въвеждане!$B$17/SUM($H$5:$H$261),0)</f>
        <v>88.7096774193548</v>
      </c>
      <c r="M165" s="13" t="n">
        <f aca="false">IF(I165=1,Въвеждане!$B$8/SUM($I$5:$I$261),0)</f>
        <v>3.2520325203252</v>
      </c>
      <c r="N165" s="13" t="n">
        <f aca="false">IF(J165=1,Въвеждане!$B$9*C165/SUMPRODUCT($C$5:$C$261,$J$5:$J$261),0)</f>
        <v>11.3259390811916</v>
      </c>
      <c r="O165" s="13" t="n">
        <f aca="false">IF(K165=1,Въвеждане!$B$10*C165/SUMPRODUCT($C$5:$C$261,$K$5:$K$261),0)</f>
        <v>38.4946345414051</v>
      </c>
      <c r="P165" s="16" t="n">
        <f aca="false">SUM(L165:O165)</f>
        <v>141.782283562277</v>
      </c>
    </row>
    <row r="166" customFormat="false" ht="15" hidden="false" customHeight="false" outlineLevel="0" collapsed="false">
      <c r="A166" s="12" t="n">
        <v>162</v>
      </c>
      <c r="B166" s="12" t="s">
        <v>227</v>
      </c>
      <c r="C166" s="20" t="n">
        <v>0.246</v>
      </c>
      <c r="D166" s="12" t="s">
        <v>62</v>
      </c>
      <c r="E166" s="12" t="n">
        <v>3</v>
      </c>
      <c r="F166" s="12"/>
      <c r="H166" s="21" t="n">
        <v>1</v>
      </c>
      <c r="I166" s="21" t="n">
        <v>1</v>
      </c>
      <c r="J166" s="21" t="n">
        <v>1</v>
      </c>
      <c r="K166" s="21" t="n">
        <v>1</v>
      </c>
      <c r="L166" s="13" t="n">
        <f aca="false">IF(H166=1,Въвеждане!$B$17/SUM($H$5:$H$261),0)</f>
        <v>88.7096774193548</v>
      </c>
      <c r="M166" s="13" t="n">
        <f aca="false">IF(I166=1,Въвеждане!$B$8/SUM($I$5:$I$261),0)</f>
        <v>3.2520325203252</v>
      </c>
      <c r="N166" s="13" t="n">
        <f aca="false">IF(J166=1,Въвеждане!$B$9*C166/SUMPRODUCT($C$5:$C$261,$J$5:$J$261),0)</f>
        <v>16.4862781891901</v>
      </c>
      <c r="O166" s="13" t="n">
        <f aca="false">IF(K166=1,Въвеждане!$B$10*C166/SUMPRODUCT($C$5:$C$261,$K$5:$K$261),0)</f>
        <v>56.0336100425187</v>
      </c>
      <c r="P166" s="16" t="n">
        <f aca="false">SUM(L166:O166)</f>
        <v>164.481598171389</v>
      </c>
    </row>
    <row r="167" customFormat="false" ht="15" hidden="false" customHeight="false" outlineLevel="0" collapsed="false">
      <c r="A167" s="12" t="n">
        <v>163</v>
      </c>
      <c r="B167" s="12" t="s">
        <v>228</v>
      </c>
      <c r="C167" s="20" t="n">
        <v>0.164</v>
      </c>
      <c r="D167" s="12" t="s">
        <v>62</v>
      </c>
      <c r="E167" s="12" t="n">
        <v>3</v>
      </c>
      <c r="F167" s="12"/>
      <c r="H167" s="21" t="n">
        <v>1</v>
      </c>
      <c r="I167" s="21" t="n">
        <v>1</v>
      </c>
      <c r="J167" s="21" t="n">
        <v>1</v>
      </c>
      <c r="K167" s="21" t="n">
        <v>1</v>
      </c>
      <c r="L167" s="13" t="n">
        <f aca="false">IF(H167=1,Въвеждане!$B$17/SUM($H$5:$H$261),0)</f>
        <v>88.7096774193548</v>
      </c>
      <c r="M167" s="13" t="n">
        <f aca="false">IF(I167=1,Въвеждане!$B$8/SUM($I$5:$I$261),0)</f>
        <v>3.2520325203252</v>
      </c>
      <c r="N167" s="13" t="n">
        <f aca="false">IF(J167=1,Въвеждане!$B$9*C167/SUMPRODUCT($C$5:$C$261,$J$5:$J$261),0)</f>
        <v>10.9908521261267</v>
      </c>
      <c r="O167" s="13" t="n">
        <f aca="false">IF(K167=1,Въвеждане!$B$10*C167/SUMPRODUCT($C$5:$C$261,$K$5:$K$261),0)</f>
        <v>37.3557400283458</v>
      </c>
      <c r="P167" s="16" t="n">
        <f aca="false">SUM(L167:O167)</f>
        <v>140.308302094153</v>
      </c>
    </row>
    <row r="168" customFormat="false" ht="15" hidden="false" customHeight="false" outlineLevel="0" collapsed="false">
      <c r="A168" s="12" t="n">
        <v>164</v>
      </c>
      <c r="B168" s="12" t="s">
        <v>229</v>
      </c>
      <c r="C168" s="20" t="n">
        <v>0.177</v>
      </c>
      <c r="D168" s="12" t="s">
        <v>62</v>
      </c>
      <c r="E168" s="12" t="n">
        <v>3</v>
      </c>
      <c r="F168" s="12"/>
      <c r="H168" s="21" t="n">
        <v>1</v>
      </c>
      <c r="I168" s="21" t="n">
        <v>1</v>
      </c>
      <c r="J168" s="21" t="n">
        <v>1</v>
      </c>
      <c r="K168" s="21" t="n">
        <v>1</v>
      </c>
      <c r="L168" s="13" t="n">
        <f aca="false">IF(H168=1,Въвеждане!$B$17/SUM($H$5:$H$261),0)</f>
        <v>88.7096774193548</v>
      </c>
      <c r="M168" s="13" t="n">
        <f aca="false">IF(I168=1,Въвеждане!$B$8/SUM($I$5:$I$261),0)</f>
        <v>3.2520325203252</v>
      </c>
      <c r="N168" s="13" t="n">
        <f aca="false">IF(J168=1,Въвеждане!$B$9*C168/SUMPRODUCT($C$5:$C$261,$J$5:$J$261),0)</f>
        <v>11.8620782092953</v>
      </c>
      <c r="O168" s="13" t="n">
        <f aca="false">IF(K168=1,Въвеждане!$B$10*C168/SUMPRODUCT($C$5:$C$261,$K$5:$K$261),0)</f>
        <v>40.3168657623001</v>
      </c>
      <c r="P168" s="16" t="n">
        <f aca="false">SUM(L168:O168)</f>
        <v>144.140653911275</v>
      </c>
    </row>
    <row r="169" customFormat="false" ht="15" hidden="false" customHeight="false" outlineLevel="0" collapsed="false">
      <c r="A169" s="12" t="n">
        <v>165</v>
      </c>
      <c r="B169" s="12" t="s">
        <v>230</v>
      </c>
      <c r="C169" s="20" t="n">
        <v>0.206</v>
      </c>
      <c r="D169" s="12" t="s">
        <v>62</v>
      </c>
      <c r="E169" s="12" t="n">
        <v>3</v>
      </c>
      <c r="F169" s="12"/>
      <c r="H169" s="21" t="n">
        <v>1</v>
      </c>
      <c r="I169" s="21" t="n">
        <v>1</v>
      </c>
      <c r="J169" s="21" t="n">
        <v>1</v>
      </c>
      <c r="K169" s="21" t="n">
        <v>1</v>
      </c>
      <c r="L169" s="13" t="n">
        <f aca="false">IF(H169=1,Въвеждане!$B$17/SUM($H$5:$H$261),0)</f>
        <v>88.7096774193548</v>
      </c>
      <c r="M169" s="13" t="n">
        <f aca="false">IF(I169=1,Въвеждане!$B$8/SUM($I$5:$I$261),0)</f>
        <v>3.2520325203252</v>
      </c>
      <c r="N169" s="13" t="n">
        <f aca="false">IF(J169=1,Въвеждане!$B$9*C169/SUMPRODUCT($C$5:$C$261,$J$5:$J$261),0)</f>
        <v>13.8055825486714</v>
      </c>
      <c r="O169" s="13" t="n">
        <f aca="false">IF(K169=1,Въвеждане!$B$10*C169/SUMPRODUCT($C$5:$C$261,$K$5:$K$261),0)</f>
        <v>46.9224539380441</v>
      </c>
      <c r="P169" s="16" t="n">
        <f aca="false">SUM(L169:O169)</f>
        <v>152.689746426396</v>
      </c>
    </row>
    <row r="170" customFormat="false" ht="15" hidden="false" customHeight="false" outlineLevel="0" collapsed="false">
      <c r="A170" s="12" t="n">
        <v>166</v>
      </c>
      <c r="B170" s="12" t="s">
        <v>231</v>
      </c>
      <c r="C170" s="20" t="n">
        <v>0.17</v>
      </c>
      <c r="D170" s="12" t="s">
        <v>62</v>
      </c>
      <c r="E170" s="12" t="n">
        <v>3</v>
      </c>
      <c r="F170" s="12"/>
      <c r="H170" s="21" t="n">
        <v>1</v>
      </c>
      <c r="I170" s="21" t="n">
        <v>1</v>
      </c>
      <c r="J170" s="21" t="n">
        <v>1</v>
      </c>
      <c r="K170" s="21" t="n">
        <v>1</v>
      </c>
      <c r="L170" s="13" t="n">
        <f aca="false">IF(H170=1,Въвеждане!$B$17/SUM($H$5:$H$261),0)</f>
        <v>88.7096774193548</v>
      </c>
      <c r="M170" s="13" t="n">
        <f aca="false">IF(I170=1,Въвеждане!$B$8/SUM($I$5:$I$261),0)</f>
        <v>3.2520325203252</v>
      </c>
      <c r="N170" s="13" t="n">
        <f aca="false">IF(J170=1,Въвеждане!$B$9*C170/SUMPRODUCT($C$5:$C$261,$J$5:$J$261),0)</f>
        <v>11.3929564722045</v>
      </c>
      <c r="O170" s="13" t="n">
        <f aca="false">IF(K170=1,Въвеждане!$B$10*C170/SUMPRODUCT($C$5:$C$261,$K$5:$K$261),0)</f>
        <v>38.722413444017</v>
      </c>
      <c r="P170" s="16" t="n">
        <f aca="false">SUM(L170:O170)</f>
        <v>142.077079855902</v>
      </c>
    </row>
    <row r="171" customFormat="false" ht="15" hidden="false" customHeight="false" outlineLevel="0" collapsed="false">
      <c r="A171" s="12" t="n">
        <v>167</v>
      </c>
      <c r="B171" s="12" t="s">
        <v>232</v>
      </c>
      <c r="C171" s="20" t="n">
        <v>0.085</v>
      </c>
      <c r="D171" s="12" t="s">
        <v>62</v>
      </c>
      <c r="E171" s="12" t="n">
        <v>3</v>
      </c>
      <c r="F171" s="12"/>
      <c r="H171" s="21" t="n">
        <v>1</v>
      </c>
      <c r="I171" s="21" t="n">
        <v>1</v>
      </c>
      <c r="J171" s="21" t="n">
        <v>1</v>
      </c>
      <c r="K171" s="21" t="n">
        <v>1</v>
      </c>
      <c r="L171" s="13" t="n">
        <f aca="false">IF(H171=1,Въвеждане!$B$17/SUM($H$5:$H$261),0)</f>
        <v>88.7096774193548</v>
      </c>
      <c r="M171" s="13" t="n">
        <f aca="false">IF(I171=1,Въвеждане!$B$8/SUM($I$5:$I$261),0)</f>
        <v>3.2520325203252</v>
      </c>
      <c r="N171" s="13" t="n">
        <f aca="false">IF(J171=1,Въвеждане!$B$9*C171/SUMPRODUCT($C$5:$C$261,$J$5:$J$261),0)</f>
        <v>5.69647823610227</v>
      </c>
      <c r="O171" s="13" t="n">
        <f aca="false">IF(K171=1,Въвеждане!$B$10*C171/SUMPRODUCT($C$5:$C$261,$K$5:$K$261),0)</f>
        <v>19.3612067220085</v>
      </c>
      <c r="P171" s="16" t="n">
        <f aca="false">SUM(L171:O171)</f>
        <v>117.019394897791</v>
      </c>
    </row>
    <row r="172" customFormat="false" ht="15" hidden="false" customHeight="false" outlineLevel="0" collapsed="false">
      <c r="A172" s="12" t="n">
        <v>168</v>
      </c>
      <c r="B172" s="12" t="s">
        <v>233</v>
      </c>
      <c r="C172" s="20" t="n">
        <v>0.085</v>
      </c>
      <c r="D172" s="12" t="s">
        <v>62</v>
      </c>
      <c r="E172" s="12" t="n">
        <v>3</v>
      </c>
      <c r="F172" s="12"/>
      <c r="H172" s="21" t="n">
        <v>1</v>
      </c>
      <c r="I172" s="21" t="n">
        <v>1</v>
      </c>
      <c r="J172" s="21" t="n">
        <v>1</v>
      </c>
      <c r="K172" s="21" t="n">
        <v>1</v>
      </c>
      <c r="L172" s="13" t="n">
        <f aca="false">IF(H172=1,Въвеждане!$B$17/SUM($H$5:$H$261),0)</f>
        <v>88.7096774193548</v>
      </c>
      <c r="M172" s="13" t="n">
        <f aca="false">IF(I172=1,Въвеждане!$B$8/SUM($I$5:$I$261),0)</f>
        <v>3.2520325203252</v>
      </c>
      <c r="N172" s="13" t="n">
        <f aca="false">IF(J172=1,Въвеждане!$B$9*C172/SUMPRODUCT($C$5:$C$261,$J$5:$J$261),0)</f>
        <v>5.69647823610227</v>
      </c>
      <c r="O172" s="13" t="n">
        <f aca="false">IF(K172=1,Въвеждане!$B$10*C172/SUMPRODUCT($C$5:$C$261,$K$5:$K$261),0)</f>
        <v>19.3612067220085</v>
      </c>
      <c r="P172" s="16" t="n">
        <f aca="false">SUM(L172:O172)</f>
        <v>117.019394897791</v>
      </c>
    </row>
    <row r="173" customFormat="false" ht="15" hidden="false" customHeight="false" outlineLevel="0" collapsed="false">
      <c r="A173" s="12" t="n">
        <v>169</v>
      </c>
      <c r="B173" s="12" t="s">
        <v>234</v>
      </c>
      <c r="C173" s="20" t="n">
        <v>0.13</v>
      </c>
      <c r="D173" s="12" t="s">
        <v>62</v>
      </c>
      <c r="E173" s="12" t="n">
        <v>3</v>
      </c>
      <c r="F173" s="12"/>
      <c r="H173" s="21" t="n">
        <v>1</v>
      </c>
      <c r="I173" s="21" t="n">
        <v>1</v>
      </c>
      <c r="J173" s="21" t="n">
        <v>1</v>
      </c>
      <c r="K173" s="21" t="n">
        <v>1</v>
      </c>
      <c r="L173" s="13" t="n">
        <f aca="false">IF(H173=1,Въвеждане!$B$17/SUM($H$5:$H$261),0)</f>
        <v>88.7096774193548</v>
      </c>
      <c r="M173" s="13" t="n">
        <f aca="false">IF(I173=1,Въвеждане!$B$8/SUM($I$5:$I$261),0)</f>
        <v>3.2520325203252</v>
      </c>
      <c r="N173" s="13" t="n">
        <f aca="false">IF(J173=1,Въвеждане!$B$9*C173/SUMPRODUCT($C$5:$C$261,$J$5:$J$261),0)</f>
        <v>8.71226083168582</v>
      </c>
      <c r="O173" s="13" t="n">
        <f aca="false">IF(K173=1,Въвеждане!$B$10*C173/SUMPRODUCT($C$5:$C$261,$K$5:$K$261),0)</f>
        <v>29.6112573395424</v>
      </c>
      <c r="P173" s="16" t="n">
        <f aca="false">SUM(L173:O173)</f>
        <v>130.285228110908</v>
      </c>
    </row>
    <row r="174" customFormat="false" ht="15" hidden="false" customHeight="false" outlineLevel="0" collapsed="false">
      <c r="A174" s="12" t="n">
        <v>170</v>
      </c>
      <c r="B174" s="12" t="s">
        <v>235</v>
      </c>
      <c r="C174" s="20" t="n">
        <v>0.174</v>
      </c>
      <c r="D174" s="12" t="s">
        <v>62</v>
      </c>
      <c r="E174" s="12" t="n">
        <v>3</v>
      </c>
      <c r="F174" s="12"/>
      <c r="H174" s="21" t="n">
        <v>1</v>
      </c>
      <c r="I174" s="21" t="n">
        <v>1</v>
      </c>
      <c r="J174" s="21" t="n">
        <v>1</v>
      </c>
      <c r="K174" s="21" t="n">
        <v>1</v>
      </c>
      <c r="L174" s="13" t="n">
        <f aca="false">IF(H174=1,Въвеждане!$B$17/SUM($H$5:$H$261),0)</f>
        <v>88.7096774193548</v>
      </c>
      <c r="M174" s="13" t="n">
        <f aca="false">IF(I174=1,Въвеждане!$B$8/SUM($I$5:$I$261),0)</f>
        <v>3.2520325203252</v>
      </c>
      <c r="N174" s="13" t="n">
        <f aca="false">IF(J174=1,Въвеждане!$B$9*C174/SUMPRODUCT($C$5:$C$261,$J$5:$J$261),0)</f>
        <v>11.6610260362564</v>
      </c>
      <c r="O174" s="13" t="n">
        <f aca="false">IF(K174=1,Въвеждане!$B$10*C174/SUMPRODUCT($C$5:$C$261,$K$5:$K$261),0)</f>
        <v>39.6335290544645</v>
      </c>
      <c r="P174" s="16" t="n">
        <f aca="false">SUM(L174:O174)</f>
        <v>143.256265030401</v>
      </c>
    </row>
    <row r="175" customFormat="false" ht="15" hidden="false" customHeight="false" outlineLevel="0" collapsed="false">
      <c r="A175" s="12" t="n">
        <v>171</v>
      </c>
      <c r="B175" s="12" t="s">
        <v>236</v>
      </c>
      <c r="C175" s="20" t="n">
        <v>0.18</v>
      </c>
      <c r="D175" s="12" t="s">
        <v>62</v>
      </c>
      <c r="E175" s="12" t="n">
        <v>3</v>
      </c>
      <c r="F175" s="12"/>
      <c r="H175" s="21" t="n">
        <v>1</v>
      </c>
      <c r="I175" s="21" t="n">
        <v>1</v>
      </c>
      <c r="J175" s="21" t="n">
        <v>1</v>
      </c>
      <c r="K175" s="21" t="n">
        <v>1</v>
      </c>
      <c r="L175" s="13" t="n">
        <f aca="false">IF(H175=1,Въвеждане!$B$17/SUM($H$5:$H$261),0)</f>
        <v>88.7096774193548</v>
      </c>
      <c r="M175" s="13" t="n">
        <f aca="false">IF(I175=1,Въвеждане!$B$8/SUM($I$5:$I$261),0)</f>
        <v>3.2520325203252</v>
      </c>
      <c r="N175" s="13" t="n">
        <f aca="false">IF(J175=1,Въвеждане!$B$9*C175/SUMPRODUCT($C$5:$C$261,$J$5:$J$261),0)</f>
        <v>12.0631303823342</v>
      </c>
      <c r="O175" s="13" t="n">
        <f aca="false">IF(K175=1,Въвеждане!$B$10*C175/SUMPRODUCT($C$5:$C$261,$K$5:$K$261),0)</f>
        <v>41.0002024701357</v>
      </c>
      <c r="P175" s="16" t="n">
        <f aca="false">SUM(L175:O175)</f>
        <v>145.02504279215</v>
      </c>
    </row>
    <row r="176" customFormat="false" ht="15" hidden="false" customHeight="false" outlineLevel="0" collapsed="false">
      <c r="A176" s="12" t="n">
        <v>172</v>
      </c>
      <c r="B176" s="12" t="s">
        <v>237</v>
      </c>
      <c r="C176" s="20" t="n">
        <v>0.174</v>
      </c>
      <c r="D176" s="12" t="s">
        <v>62</v>
      </c>
      <c r="E176" s="12" t="n">
        <v>3</v>
      </c>
      <c r="F176" s="12"/>
      <c r="H176" s="21" t="n">
        <v>1</v>
      </c>
      <c r="I176" s="21" t="n">
        <v>1</v>
      </c>
      <c r="J176" s="21" t="n">
        <v>1</v>
      </c>
      <c r="K176" s="21" t="n">
        <v>1</v>
      </c>
      <c r="L176" s="13" t="n">
        <f aca="false">IF(H176=1,Въвеждане!$B$17/SUM($H$5:$H$261),0)</f>
        <v>88.7096774193548</v>
      </c>
      <c r="M176" s="13" t="n">
        <f aca="false">IF(I176=1,Въвеждане!$B$8/SUM($I$5:$I$261),0)</f>
        <v>3.2520325203252</v>
      </c>
      <c r="N176" s="13" t="n">
        <f aca="false">IF(J176=1,Въвеждане!$B$9*C176/SUMPRODUCT($C$5:$C$261,$J$5:$J$261),0)</f>
        <v>11.6610260362564</v>
      </c>
      <c r="O176" s="13" t="n">
        <f aca="false">IF(K176=1,Въвеждане!$B$10*C176/SUMPRODUCT($C$5:$C$261,$K$5:$K$261),0)</f>
        <v>39.6335290544645</v>
      </c>
      <c r="P176" s="16" t="n">
        <f aca="false">SUM(L176:O176)</f>
        <v>143.256265030401</v>
      </c>
    </row>
    <row r="177" customFormat="false" ht="15" hidden="false" customHeight="false" outlineLevel="0" collapsed="false">
      <c r="A177" s="12" t="n">
        <v>173</v>
      </c>
      <c r="B177" s="12" t="s">
        <v>238</v>
      </c>
      <c r="C177" s="20" t="n">
        <v>0.174</v>
      </c>
      <c r="D177" s="12" t="s">
        <v>62</v>
      </c>
      <c r="E177" s="12" t="n">
        <v>3</v>
      </c>
      <c r="F177" s="12"/>
      <c r="H177" s="21" t="n">
        <v>1</v>
      </c>
      <c r="I177" s="21" t="n">
        <v>1</v>
      </c>
      <c r="J177" s="21" t="n">
        <v>1</v>
      </c>
      <c r="K177" s="21" t="n">
        <v>1</v>
      </c>
      <c r="L177" s="13" t="n">
        <f aca="false">IF(H177=1,Въвеждане!$B$17/SUM($H$5:$H$261),0)</f>
        <v>88.7096774193548</v>
      </c>
      <c r="M177" s="13" t="n">
        <f aca="false">IF(I177=1,Въвеждане!$B$8/SUM($I$5:$I$261),0)</f>
        <v>3.2520325203252</v>
      </c>
      <c r="N177" s="13" t="n">
        <f aca="false">IF(J177=1,Въвеждане!$B$9*C177/SUMPRODUCT($C$5:$C$261,$J$5:$J$261),0)</f>
        <v>11.6610260362564</v>
      </c>
      <c r="O177" s="13" t="n">
        <f aca="false">IF(K177=1,Въвеждане!$B$10*C177/SUMPRODUCT($C$5:$C$261,$K$5:$K$261),0)</f>
        <v>39.6335290544645</v>
      </c>
      <c r="P177" s="16" t="n">
        <f aca="false">SUM(L177:O177)</f>
        <v>143.256265030401</v>
      </c>
    </row>
    <row r="178" customFormat="false" ht="15" hidden="false" customHeight="false" outlineLevel="0" collapsed="false">
      <c r="A178" s="12" t="n">
        <v>174</v>
      </c>
      <c r="B178" s="12" t="s">
        <v>239</v>
      </c>
      <c r="C178" s="20" t="n">
        <v>0.227</v>
      </c>
      <c r="D178" s="12" t="s">
        <v>62</v>
      </c>
      <c r="E178" s="12" t="n">
        <v>3</v>
      </c>
      <c r="F178" s="12"/>
      <c r="H178" s="21" t="n">
        <v>1</v>
      </c>
      <c r="I178" s="21" t="n">
        <v>1</v>
      </c>
      <c r="J178" s="21" t="n">
        <v>1</v>
      </c>
      <c r="K178" s="21" t="n">
        <v>1</v>
      </c>
      <c r="L178" s="13" t="n">
        <f aca="false">IF(H178=1,Въвеждане!$B$17/SUM($H$5:$H$261),0)</f>
        <v>88.7096774193548</v>
      </c>
      <c r="M178" s="13" t="n">
        <f aca="false">IF(I178=1,Въвеждане!$B$8/SUM($I$5:$I$261),0)</f>
        <v>3.2520325203252</v>
      </c>
      <c r="N178" s="13" t="n">
        <f aca="false">IF(J178=1,Въвеждане!$B$9*C178/SUMPRODUCT($C$5:$C$261,$J$5:$J$261),0)</f>
        <v>15.2129477599437</v>
      </c>
      <c r="O178" s="13" t="n">
        <f aca="false">IF(K178=1,Въвеждане!$B$10*C178/SUMPRODUCT($C$5:$C$261,$K$5:$K$261),0)</f>
        <v>51.7058108928933</v>
      </c>
      <c r="P178" s="16" t="n">
        <f aca="false">SUM(L178:O178)</f>
        <v>158.880468592517</v>
      </c>
    </row>
    <row r="179" customFormat="false" ht="15" hidden="false" customHeight="false" outlineLevel="0" collapsed="false">
      <c r="A179" s="12" t="n">
        <v>175</v>
      </c>
      <c r="B179" s="12" t="s">
        <v>240</v>
      </c>
      <c r="C179" s="20" t="n">
        <v>0.079</v>
      </c>
      <c r="D179" s="12" t="s">
        <v>62</v>
      </c>
      <c r="E179" s="12" t="n">
        <v>3</v>
      </c>
      <c r="F179" s="12"/>
      <c r="H179" s="21" t="n">
        <v>1</v>
      </c>
      <c r="I179" s="21" t="n">
        <v>1</v>
      </c>
      <c r="J179" s="21" t="n">
        <v>1</v>
      </c>
      <c r="K179" s="21" t="n">
        <v>1</v>
      </c>
      <c r="L179" s="13" t="n">
        <f aca="false">IF(H179=1,Въвеждане!$B$17/SUM($H$5:$H$261),0)</f>
        <v>88.7096774193548</v>
      </c>
      <c r="M179" s="13" t="n">
        <f aca="false">IF(I179=1,Въвеждане!$B$8/SUM($I$5:$I$261),0)</f>
        <v>3.2520325203252</v>
      </c>
      <c r="N179" s="13" t="n">
        <f aca="false">IF(J179=1,Въвеждане!$B$9*C179/SUMPRODUCT($C$5:$C$261,$J$5:$J$261),0)</f>
        <v>5.29437389002446</v>
      </c>
      <c r="O179" s="13" t="n">
        <f aca="false">IF(K179=1,Въвеждане!$B$10*C179/SUMPRODUCT($C$5:$C$261,$K$5:$K$261),0)</f>
        <v>17.9945333063373</v>
      </c>
      <c r="P179" s="16" t="n">
        <f aca="false">SUM(L179:O179)</f>
        <v>115.250617136042</v>
      </c>
    </row>
    <row r="180" customFormat="false" ht="15" hidden="false" customHeight="false" outlineLevel="0" collapsed="false">
      <c r="A180" s="12" t="n">
        <v>176</v>
      </c>
      <c r="B180" s="12" t="s">
        <v>241</v>
      </c>
      <c r="C180" s="20" t="n">
        <v>0.076</v>
      </c>
      <c r="D180" s="12" t="s">
        <v>62</v>
      </c>
      <c r="E180" s="12" t="n">
        <v>3</v>
      </c>
      <c r="F180" s="12"/>
      <c r="H180" s="21" t="n">
        <v>1</v>
      </c>
      <c r="I180" s="21" t="n">
        <v>1</v>
      </c>
      <c r="J180" s="21" t="n">
        <v>1</v>
      </c>
      <c r="K180" s="21" t="n">
        <v>1</v>
      </c>
      <c r="L180" s="13" t="n">
        <f aca="false">IF(H180=1,Въвеждане!$B$17/SUM($H$5:$H$261),0)</f>
        <v>88.7096774193548</v>
      </c>
      <c r="M180" s="13" t="n">
        <f aca="false">IF(I180=1,Въвеждане!$B$8/SUM($I$5:$I$261),0)</f>
        <v>3.2520325203252</v>
      </c>
      <c r="N180" s="13" t="n">
        <f aca="false">IF(J180=1,Въвеждане!$B$9*C180/SUMPRODUCT($C$5:$C$261,$J$5:$J$261),0)</f>
        <v>5.09332171698556</v>
      </c>
      <c r="O180" s="13" t="n">
        <f aca="false">IF(K180=1,Въвеждане!$B$10*C180/SUMPRODUCT($C$5:$C$261,$K$5:$K$261),0)</f>
        <v>17.3111965985017</v>
      </c>
      <c r="P180" s="16" t="n">
        <f aca="false">SUM(L180:O180)</f>
        <v>114.366228255167</v>
      </c>
    </row>
    <row r="181" customFormat="false" ht="15" hidden="false" customHeight="false" outlineLevel="0" collapsed="false">
      <c r="A181" s="12" t="n">
        <v>177</v>
      </c>
      <c r="B181" s="12" t="s">
        <v>242</v>
      </c>
      <c r="C181" s="20" t="n">
        <v>0.15</v>
      </c>
      <c r="D181" s="12" t="s">
        <v>62</v>
      </c>
      <c r="E181" s="12" t="n">
        <v>3</v>
      </c>
      <c r="F181" s="12"/>
      <c r="H181" s="21" t="n">
        <v>1</v>
      </c>
      <c r="I181" s="21" t="n">
        <v>1</v>
      </c>
      <c r="J181" s="21" t="n">
        <v>1</v>
      </c>
      <c r="K181" s="21" t="n">
        <v>1</v>
      </c>
      <c r="L181" s="13" t="n">
        <f aca="false">IF(H181=1,Въвеждане!$B$17/SUM($H$5:$H$261),0)</f>
        <v>88.7096774193548</v>
      </c>
      <c r="M181" s="13" t="n">
        <f aca="false">IF(I181=1,Въвеждане!$B$8/SUM($I$5:$I$261),0)</f>
        <v>3.2520325203252</v>
      </c>
      <c r="N181" s="13" t="n">
        <f aca="false">IF(J181=1,Въвеждане!$B$9*C181/SUMPRODUCT($C$5:$C$261,$J$5:$J$261),0)</f>
        <v>10.0526086519452</v>
      </c>
      <c r="O181" s="13" t="n">
        <f aca="false">IF(K181=1,Въвеждане!$B$10*C181/SUMPRODUCT($C$5:$C$261,$K$5:$K$261),0)</f>
        <v>34.1668353917797</v>
      </c>
      <c r="P181" s="16" t="n">
        <f aca="false">SUM(L181:O181)</f>
        <v>136.181153983405</v>
      </c>
    </row>
    <row r="182" customFormat="false" ht="15" hidden="false" customHeight="false" outlineLevel="0" collapsed="false">
      <c r="A182" s="12" t="n">
        <v>178</v>
      </c>
      <c r="B182" s="12" t="s">
        <v>243</v>
      </c>
      <c r="C182" s="20" t="n">
        <v>0.149</v>
      </c>
      <c r="D182" s="12" t="s">
        <v>62</v>
      </c>
      <c r="E182" s="12" t="n">
        <v>3</v>
      </c>
      <c r="F182" s="12"/>
      <c r="H182" s="21" t="n">
        <v>1</v>
      </c>
      <c r="I182" s="21" t="n">
        <v>1</v>
      </c>
      <c r="J182" s="21" t="n">
        <v>1</v>
      </c>
      <c r="K182" s="21" t="n">
        <v>1</v>
      </c>
      <c r="L182" s="13" t="n">
        <f aca="false">IF(H182=1,Въвеждане!$B$17/SUM($H$5:$H$261),0)</f>
        <v>88.7096774193548</v>
      </c>
      <c r="M182" s="13" t="n">
        <f aca="false">IF(I182=1,Въвеждане!$B$8/SUM($I$5:$I$261),0)</f>
        <v>3.2520325203252</v>
      </c>
      <c r="N182" s="13" t="n">
        <f aca="false">IF(J182=1,Въвеждане!$B$9*C182/SUMPRODUCT($C$5:$C$261,$J$5:$J$261),0)</f>
        <v>9.98559126093221</v>
      </c>
      <c r="O182" s="13" t="n">
        <f aca="false">IF(K182=1,Въвеждане!$B$10*C182/SUMPRODUCT($C$5:$C$261,$K$5:$K$261),0)</f>
        <v>33.9390564891679</v>
      </c>
      <c r="P182" s="16" t="n">
        <f aca="false">SUM(L182:O182)</f>
        <v>135.88635768978</v>
      </c>
    </row>
    <row r="183" customFormat="false" ht="15" hidden="false" customHeight="false" outlineLevel="0" collapsed="false">
      <c r="A183" s="12" t="n">
        <v>179</v>
      </c>
      <c r="B183" s="12" t="s">
        <v>244</v>
      </c>
      <c r="C183" s="20" t="n">
        <v>0.157</v>
      </c>
      <c r="D183" s="12" t="s">
        <v>62</v>
      </c>
      <c r="E183" s="12" t="n">
        <v>3</v>
      </c>
      <c r="F183" s="12"/>
      <c r="H183" s="21" t="n">
        <v>1</v>
      </c>
      <c r="I183" s="21" t="n">
        <v>1</v>
      </c>
      <c r="J183" s="21" t="n">
        <v>1</v>
      </c>
      <c r="K183" s="21" t="n">
        <v>1</v>
      </c>
      <c r="L183" s="13" t="n">
        <f aca="false">IF(H183=1,Въвеждане!$B$17/SUM($H$5:$H$261),0)</f>
        <v>88.7096774193548</v>
      </c>
      <c r="M183" s="13" t="n">
        <f aca="false">IF(I183=1,Въвеждане!$B$8/SUM($I$5:$I$261),0)</f>
        <v>3.2520325203252</v>
      </c>
      <c r="N183" s="13" t="n">
        <f aca="false">IF(J183=1,Въвеждане!$B$9*C183/SUMPRODUCT($C$5:$C$261,$J$5:$J$261),0)</f>
        <v>10.521730389036</v>
      </c>
      <c r="O183" s="13" t="n">
        <f aca="false">IF(K183=1,Въвеждане!$B$10*C183/SUMPRODUCT($C$5:$C$261,$K$5:$K$261),0)</f>
        <v>35.7612877100628</v>
      </c>
      <c r="P183" s="16" t="n">
        <f aca="false">SUM(L183:O183)</f>
        <v>138.244728038779</v>
      </c>
    </row>
    <row r="184" customFormat="false" ht="15" hidden="false" customHeight="false" outlineLevel="0" collapsed="false">
      <c r="A184" s="12" t="n">
        <v>180</v>
      </c>
      <c r="B184" s="12" t="s">
        <v>245</v>
      </c>
      <c r="C184" s="20" t="n">
        <v>0.131</v>
      </c>
      <c r="D184" s="12" t="s">
        <v>62</v>
      </c>
      <c r="E184" s="12" t="n">
        <v>3</v>
      </c>
      <c r="F184" s="12"/>
      <c r="H184" s="21" t="n">
        <v>1</v>
      </c>
      <c r="I184" s="21" t="n">
        <v>1</v>
      </c>
      <c r="J184" s="21" t="n">
        <v>1</v>
      </c>
      <c r="K184" s="21" t="n">
        <v>1</v>
      </c>
      <c r="L184" s="13" t="n">
        <f aca="false">IF(H184=1,Въвеждане!$B$17/SUM($H$5:$H$261),0)</f>
        <v>88.7096774193548</v>
      </c>
      <c r="M184" s="13" t="n">
        <f aca="false">IF(I184=1,Въвеждане!$B$8/SUM($I$5:$I$261),0)</f>
        <v>3.2520325203252</v>
      </c>
      <c r="N184" s="13" t="n">
        <f aca="false">IF(J184=1,Въвеждане!$B$9*C184/SUMPRODUCT($C$5:$C$261,$J$5:$J$261),0)</f>
        <v>8.77927822269879</v>
      </c>
      <c r="O184" s="13" t="n">
        <f aca="false">IF(K184=1,Въвеждане!$B$10*C184/SUMPRODUCT($C$5:$C$261,$K$5:$K$261),0)</f>
        <v>29.8390362421543</v>
      </c>
      <c r="P184" s="16" t="n">
        <f aca="false">SUM(L184:O184)</f>
        <v>130.580024404533</v>
      </c>
    </row>
    <row r="185" customFormat="false" ht="15" hidden="false" customHeight="false" outlineLevel="0" collapsed="false">
      <c r="A185" s="12" t="n">
        <v>181</v>
      </c>
      <c r="B185" s="12" t="s">
        <v>246</v>
      </c>
      <c r="C185" s="20" t="n">
        <v>0.299</v>
      </c>
      <c r="D185" s="12" t="s">
        <v>62</v>
      </c>
      <c r="E185" s="12" t="n">
        <v>3</v>
      </c>
      <c r="F185" s="12"/>
      <c r="H185" s="21" t="n">
        <v>1</v>
      </c>
      <c r="I185" s="21" t="n">
        <v>1</v>
      </c>
      <c r="J185" s="21" t="n">
        <v>1</v>
      </c>
      <c r="K185" s="21" t="n">
        <v>1</v>
      </c>
      <c r="L185" s="13" t="n">
        <f aca="false">IF(H185=1,Въвеждане!$B$17/SUM($H$5:$H$261),0)</f>
        <v>88.7096774193548</v>
      </c>
      <c r="M185" s="13" t="n">
        <f aca="false">IF(I185=1,Въвеждане!$B$8/SUM($I$5:$I$261),0)</f>
        <v>3.2520325203252</v>
      </c>
      <c r="N185" s="13" t="n">
        <f aca="false">IF(J185=1,Въвеждане!$B$9*C185/SUMPRODUCT($C$5:$C$261,$J$5:$J$261),0)</f>
        <v>20.0381999128774</v>
      </c>
      <c r="O185" s="13" t="n">
        <f aca="false">IF(K185=1,Въвеждане!$B$10*C185/SUMPRODUCT($C$5:$C$261,$K$5:$K$261),0)</f>
        <v>68.1058918809476</v>
      </c>
      <c r="P185" s="16" t="n">
        <f aca="false">SUM(L185:O185)</f>
        <v>180.105801733505</v>
      </c>
    </row>
    <row r="186" customFormat="false" ht="15" hidden="false" customHeight="false" outlineLevel="0" collapsed="false">
      <c r="A186" s="12" t="n">
        <v>182</v>
      </c>
      <c r="B186" s="12" t="s">
        <v>247</v>
      </c>
      <c r="C186" s="20" t="n">
        <v>0.298</v>
      </c>
      <c r="D186" s="12" t="s">
        <v>62</v>
      </c>
      <c r="E186" s="12" t="n">
        <v>3</v>
      </c>
      <c r="F186" s="12"/>
      <c r="H186" s="21" t="n">
        <v>1</v>
      </c>
      <c r="I186" s="21" t="n">
        <v>1</v>
      </c>
      <c r="J186" s="21" t="n">
        <v>1</v>
      </c>
      <c r="K186" s="21" t="n">
        <v>1</v>
      </c>
      <c r="L186" s="13" t="n">
        <f aca="false">IF(H186=1,Въвеждане!$B$17/SUM($H$5:$H$261),0)</f>
        <v>88.7096774193548</v>
      </c>
      <c r="M186" s="13" t="n">
        <f aca="false">IF(I186=1,Въвеждане!$B$8/SUM($I$5:$I$261),0)</f>
        <v>3.2520325203252</v>
      </c>
      <c r="N186" s="13" t="n">
        <f aca="false">IF(J186=1,Въвеждане!$B$9*C186/SUMPRODUCT($C$5:$C$261,$J$5:$J$261),0)</f>
        <v>19.9711825218644</v>
      </c>
      <c r="O186" s="13" t="n">
        <f aca="false">IF(K186=1,Въвеждане!$B$10*C186/SUMPRODUCT($C$5:$C$261,$K$5:$K$261),0)</f>
        <v>67.8781129783357</v>
      </c>
      <c r="P186" s="16" t="n">
        <f aca="false">SUM(L186:O186)</f>
        <v>179.81100543988</v>
      </c>
    </row>
    <row r="187" customFormat="false" ht="15" hidden="false" customHeight="false" outlineLevel="0" collapsed="false">
      <c r="A187" s="12" t="n">
        <v>183</v>
      </c>
      <c r="B187" s="12" t="s">
        <v>248</v>
      </c>
      <c r="C187" s="20" t="n">
        <v>0.151</v>
      </c>
      <c r="D187" s="12" t="s">
        <v>62</v>
      </c>
      <c r="E187" s="12" t="n">
        <v>3</v>
      </c>
      <c r="F187" s="12"/>
      <c r="H187" s="21" t="n">
        <v>1</v>
      </c>
      <c r="I187" s="21" t="n">
        <v>1</v>
      </c>
      <c r="J187" s="21" t="n">
        <v>1</v>
      </c>
      <c r="K187" s="21" t="n">
        <v>1</v>
      </c>
      <c r="L187" s="13" t="n">
        <f aca="false">IF(H187=1,Въвеждане!$B$17/SUM($H$5:$H$261),0)</f>
        <v>88.7096774193548</v>
      </c>
      <c r="M187" s="13" t="n">
        <f aca="false">IF(I187=1,Въвеждане!$B$8/SUM($I$5:$I$261),0)</f>
        <v>3.2520325203252</v>
      </c>
      <c r="N187" s="13" t="n">
        <f aca="false">IF(J187=1,Въвеждане!$B$9*C187/SUMPRODUCT($C$5:$C$261,$J$5:$J$261),0)</f>
        <v>10.1196260429581</v>
      </c>
      <c r="O187" s="13" t="n">
        <f aca="false">IF(K187=1,Въвеждане!$B$10*C187/SUMPRODUCT($C$5:$C$261,$K$5:$K$261),0)</f>
        <v>34.3946142943916</v>
      </c>
      <c r="P187" s="16" t="n">
        <f aca="false">SUM(L187:O187)</f>
        <v>136.47595027703</v>
      </c>
    </row>
    <row r="188" customFormat="false" ht="15" hidden="false" customHeight="false" outlineLevel="0" collapsed="false">
      <c r="A188" s="12" t="n">
        <v>184</v>
      </c>
      <c r="B188" s="12" t="s">
        <v>249</v>
      </c>
      <c r="C188" s="20" t="n">
        <v>0.147</v>
      </c>
      <c r="D188" s="12" t="s">
        <v>62</v>
      </c>
      <c r="E188" s="12" t="n">
        <v>3</v>
      </c>
      <c r="F188" s="12"/>
      <c r="H188" s="21" t="n">
        <v>1</v>
      </c>
      <c r="I188" s="21" t="n">
        <v>1</v>
      </c>
      <c r="J188" s="21" t="n">
        <v>1</v>
      </c>
      <c r="K188" s="21" t="n">
        <v>1</v>
      </c>
      <c r="L188" s="13" t="n">
        <f aca="false">IF(H188=1,Въвеждане!$B$17/SUM($H$5:$H$261),0)</f>
        <v>88.7096774193548</v>
      </c>
      <c r="M188" s="13" t="n">
        <f aca="false">IF(I188=1,Въвеждане!$B$8/SUM($I$5:$I$261),0)</f>
        <v>3.2520325203252</v>
      </c>
      <c r="N188" s="13" t="n">
        <f aca="false">IF(J188=1,Въвеждане!$B$9*C188/SUMPRODUCT($C$5:$C$261,$J$5:$J$261),0)</f>
        <v>9.85155647890628</v>
      </c>
      <c r="O188" s="13" t="n">
        <f aca="false">IF(K188=1,Въвеждане!$B$10*C188/SUMPRODUCT($C$5:$C$261,$K$5:$K$261),0)</f>
        <v>33.4834986839441</v>
      </c>
      <c r="P188" s="16" t="n">
        <f aca="false">SUM(L188:O188)</f>
        <v>135.29676510253</v>
      </c>
    </row>
    <row r="189" customFormat="false" ht="15" hidden="false" customHeight="false" outlineLevel="0" collapsed="false">
      <c r="A189" s="12" t="n">
        <v>185</v>
      </c>
      <c r="B189" s="12" t="s">
        <v>250</v>
      </c>
      <c r="C189" s="20" t="n">
        <v>0.157</v>
      </c>
      <c r="D189" s="12" t="s">
        <v>62</v>
      </c>
      <c r="E189" s="12" t="n">
        <v>3</v>
      </c>
      <c r="F189" s="12"/>
      <c r="H189" s="21" t="n">
        <v>1</v>
      </c>
      <c r="I189" s="21" t="n">
        <v>1</v>
      </c>
      <c r="J189" s="21" t="n">
        <v>1</v>
      </c>
      <c r="K189" s="21" t="n">
        <v>1</v>
      </c>
      <c r="L189" s="13" t="n">
        <f aca="false">IF(H189=1,Въвеждане!$B$17/SUM($H$5:$H$261),0)</f>
        <v>88.7096774193548</v>
      </c>
      <c r="M189" s="13" t="n">
        <f aca="false">IF(I189=1,Въвеждане!$B$8/SUM($I$5:$I$261),0)</f>
        <v>3.2520325203252</v>
      </c>
      <c r="N189" s="13" t="n">
        <f aca="false">IF(J189=1,Въвеждане!$B$9*C189/SUMPRODUCT($C$5:$C$261,$J$5:$J$261),0)</f>
        <v>10.521730389036</v>
      </c>
      <c r="O189" s="13" t="n">
        <f aca="false">IF(K189=1,Въвеждане!$B$10*C189/SUMPRODUCT($C$5:$C$261,$K$5:$K$261),0)</f>
        <v>35.7612877100628</v>
      </c>
      <c r="P189" s="16" t="n">
        <f aca="false">SUM(L189:O189)</f>
        <v>138.244728038779</v>
      </c>
    </row>
    <row r="190" customFormat="false" ht="15" hidden="false" customHeight="false" outlineLevel="0" collapsed="false">
      <c r="A190" s="12" t="n">
        <v>186</v>
      </c>
      <c r="B190" s="12" t="s">
        <v>251</v>
      </c>
      <c r="C190" s="20" t="n">
        <v>0.202</v>
      </c>
      <c r="D190" s="12" t="s">
        <v>62</v>
      </c>
      <c r="E190" s="12" t="n">
        <v>3</v>
      </c>
      <c r="F190" s="12"/>
      <c r="H190" s="21" t="n">
        <v>1</v>
      </c>
      <c r="I190" s="21" t="n">
        <v>1</v>
      </c>
      <c r="J190" s="21" t="n">
        <v>1</v>
      </c>
      <c r="K190" s="21" t="n">
        <v>1</v>
      </c>
      <c r="L190" s="13" t="n">
        <f aca="false">IF(H190=1,Въвеждане!$B$17/SUM($H$5:$H$261),0)</f>
        <v>88.7096774193548</v>
      </c>
      <c r="M190" s="13" t="n">
        <f aca="false">IF(I190=1,Въвеждане!$B$8/SUM($I$5:$I$261),0)</f>
        <v>3.2520325203252</v>
      </c>
      <c r="N190" s="13" t="n">
        <f aca="false">IF(J190=1,Въвеждане!$B$9*C190/SUMPRODUCT($C$5:$C$261,$J$5:$J$261),0)</f>
        <v>13.5375129846195</v>
      </c>
      <c r="O190" s="13" t="n">
        <f aca="false">IF(K190=1,Въвеждане!$B$10*C190/SUMPRODUCT($C$5:$C$261,$K$5:$K$261),0)</f>
        <v>46.0113383275967</v>
      </c>
      <c r="P190" s="16" t="n">
        <f aca="false">SUM(L190:O190)</f>
        <v>151.510561251896</v>
      </c>
    </row>
    <row r="191" customFormat="false" ht="15" hidden="false" customHeight="false" outlineLevel="0" collapsed="false">
      <c r="A191" s="12" t="n">
        <v>187</v>
      </c>
      <c r="B191" s="12" t="s">
        <v>252</v>
      </c>
      <c r="C191" s="20" t="n">
        <v>0.153</v>
      </c>
      <c r="D191" s="12" t="s">
        <v>62</v>
      </c>
      <c r="E191" s="12" t="n">
        <v>3</v>
      </c>
      <c r="F191" s="12"/>
      <c r="H191" s="21" t="n">
        <v>1</v>
      </c>
      <c r="I191" s="21" t="n">
        <v>1</v>
      </c>
      <c r="J191" s="21" t="n">
        <v>1</v>
      </c>
      <c r="K191" s="21" t="n">
        <v>1</v>
      </c>
      <c r="L191" s="13" t="n">
        <f aca="false">IF(H191=1,Въвеждане!$B$17/SUM($H$5:$H$261),0)</f>
        <v>88.7096774193548</v>
      </c>
      <c r="M191" s="13" t="n">
        <f aca="false">IF(I191=1,Въвеждане!$B$8/SUM($I$5:$I$261),0)</f>
        <v>3.2520325203252</v>
      </c>
      <c r="N191" s="13" t="n">
        <f aca="false">IF(J191=1,Въвеждане!$B$9*C191/SUMPRODUCT($C$5:$C$261,$J$5:$J$261),0)</f>
        <v>10.2536608249841</v>
      </c>
      <c r="O191" s="13" t="n">
        <f aca="false">IF(K191=1,Въвеждане!$B$10*C191/SUMPRODUCT($C$5:$C$261,$K$5:$K$261),0)</f>
        <v>34.8501720996153</v>
      </c>
      <c r="P191" s="16" t="n">
        <f aca="false">SUM(L191:O191)</f>
        <v>137.065542864279</v>
      </c>
    </row>
    <row r="192" customFormat="false" ht="15" hidden="false" customHeight="false" outlineLevel="0" collapsed="false">
      <c r="A192" s="12" t="n">
        <v>188</v>
      </c>
      <c r="B192" s="12" t="s">
        <v>253</v>
      </c>
      <c r="C192" s="20" t="n">
        <v>0.166</v>
      </c>
      <c r="D192" s="12" t="s">
        <v>62</v>
      </c>
      <c r="E192" s="12" t="n">
        <v>3</v>
      </c>
      <c r="F192" s="12"/>
      <c r="H192" s="21" t="n">
        <v>1</v>
      </c>
      <c r="I192" s="21" t="n">
        <v>1</v>
      </c>
      <c r="J192" s="21" t="n">
        <v>1</v>
      </c>
      <c r="K192" s="21" t="n">
        <v>1</v>
      </c>
      <c r="L192" s="13" t="n">
        <f aca="false">IF(H192=1,Въвеждане!$B$17/SUM($H$5:$H$261),0)</f>
        <v>88.7096774193548</v>
      </c>
      <c r="M192" s="13" t="n">
        <f aca="false">IF(I192=1,Въвеждане!$B$8/SUM($I$5:$I$261),0)</f>
        <v>3.2520325203252</v>
      </c>
      <c r="N192" s="13" t="n">
        <f aca="false">IF(J192=1,Въвеждане!$B$9*C192/SUMPRODUCT($C$5:$C$261,$J$5:$J$261),0)</f>
        <v>11.1248869081527</v>
      </c>
      <c r="O192" s="13" t="n">
        <f aca="false">IF(K192=1,Въвеждане!$B$10*C192/SUMPRODUCT($C$5:$C$261,$K$5:$K$261),0)</f>
        <v>37.8112978335696</v>
      </c>
      <c r="P192" s="16" t="n">
        <f aca="false">SUM(L192:O192)</f>
        <v>140.897894681402</v>
      </c>
    </row>
    <row r="193" customFormat="false" ht="15" hidden="false" customHeight="false" outlineLevel="0" collapsed="false">
      <c r="A193" s="12" t="n">
        <v>189</v>
      </c>
      <c r="B193" s="12" t="s">
        <v>254</v>
      </c>
      <c r="C193" s="20" t="n">
        <v>0.184</v>
      </c>
      <c r="D193" s="12" t="s">
        <v>62</v>
      </c>
      <c r="E193" s="12" t="n">
        <v>3</v>
      </c>
      <c r="F193" s="12"/>
      <c r="H193" s="21" t="n">
        <v>1</v>
      </c>
      <c r="I193" s="21" t="n">
        <v>1</v>
      </c>
      <c r="J193" s="21" t="n">
        <v>1</v>
      </c>
      <c r="K193" s="21" t="n">
        <v>1</v>
      </c>
      <c r="L193" s="13" t="n">
        <f aca="false">IF(H193=1,Въвеждане!$B$17/SUM($H$5:$H$261),0)</f>
        <v>88.7096774193548</v>
      </c>
      <c r="M193" s="13" t="n">
        <f aca="false">IF(I193=1,Въвеждане!$B$8/SUM($I$5:$I$261),0)</f>
        <v>3.2520325203252</v>
      </c>
      <c r="N193" s="13" t="n">
        <f aca="false">IF(J193=1,Въвеждане!$B$9*C193/SUMPRODUCT($C$5:$C$261,$J$5:$J$261),0)</f>
        <v>12.3311999463861</v>
      </c>
      <c r="O193" s="13" t="n">
        <f aca="false">IF(K193=1,Въвеждане!$B$10*C193/SUMPRODUCT($C$5:$C$261,$K$5:$K$261),0)</f>
        <v>41.9113180805831</v>
      </c>
      <c r="P193" s="16" t="n">
        <f aca="false">SUM(L193:O193)</f>
        <v>146.204227966649</v>
      </c>
    </row>
    <row r="194" customFormat="false" ht="15" hidden="false" customHeight="false" outlineLevel="0" collapsed="false">
      <c r="A194" s="12" t="n">
        <v>190</v>
      </c>
      <c r="B194" s="12" t="s">
        <v>255</v>
      </c>
      <c r="C194" s="20" t="n">
        <v>0.17</v>
      </c>
      <c r="D194" s="12" t="s">
        <v>62</v>
      </c>
      <c r="E194" s="12" t="n">
        <v>3</v>
      </c>
      <c r="F194" s="12"/>
      <c r="H194" s="21" t="n">
        <v>1</v>
      </c>
      <c r="I194" s="21" t="n">
        <v>1</v>
      </c>
      <c r="J194" s="21" t="n">
        <v>1</v>
      </c>
      <c r="K194" s="21" t="n">
        <v>1</v>
      </c>
      <c r="L194" s="13" t="n">
        <f aca="false">IF(H194=1,Въвеждане!$B$17/SUM($H$5:$H$261),0)</f>
        <v>88.7096774193548</v>
      </c>
      <c r="M194" s="13" t="n">
        <f aca="false">IF(I194=1,Въвеждане!$B$8/SUM($I$5:$I$261),0)</f>
        <v>3.2520325203252</v>
      </c>
      <c r="N194" s="13" t="n">
        <f aca="false">IF(J194=1,Въвеждане!$B$9*C194/SUMPRODUCT($C$5:$C$261,$J$5:$J$261),0)</f>
        <v>11.3929564722045</v>
      </c>
      <c r="O194" s="13" t="n">
        <f aca="false">IF(K194=1,Въвеждане!$B$10*C194/SUMPRODUCT($C$5:$C$261,$K$5:$K$261),0)</f>
        <v>38.722413444017</v>
      </c>
      <c r="P194" s="16" t="n">
        <f aca="false">SUM(L194:O194)</f>
        <v>142.077079855902</v>
      </c>
    </row>
    <row r="195" customFormat="false" ht="15" hidden="false" customHeight="false" outlineLevel="0" collapsed="false">
      <c r="A195" s="12" t="n">
        <v>191</v>
      </c>
      <c r="B195" s="12" t="s">
        <v>256</v>
      </c>
      <c r="C195" s="20" t="n">
        <v>0.154</v>
      </c>
      <c r="D195" s="12" t="s">
        <v>62</v>
      </c>
      <c r="E195" s="12" t="n">
        <v>3</v>
      </c>
      <c r="F195" s="12"/>
      <c r="H195" s="21" t="n">
        <v>1</v>
      </c>
      <c r="I195" s="21" t="n">
        <v>1</v>
      </c>
      <c r="J195" s="21" t="n">
        <v>1</v>
      </c>
      <c r="K195" s="21" t="n">
        <v>1</v>
      </c>
      <c r="L195" s="13" t="n">
        <f aca="false">IF(H195=1,Въвеждане!$B$17/SUM($H$5:$H$261),0)</f>
        <v>88.7096774193548</v>
      </c>
      <c r="M195" s="13" t="n">
        <f aca="false">IF(I195=1,Въвеждане!$B$8/SUM($I$5:$I$261),0)</f>
        <v>3.2520325203252</v>
      </c>
      <c r="N195" s="13" t="n">
        <f aca="false">IF(J195=1,Въвеждане!$B$9*C195/SUMPRODUCT($C$5:$C$261,$J$5:$J$261),0)</f>
        <v>10.3206782159971</v>
      </c>
      <c r="O195" s="13" t="n">
        <f aca="false">IF(K195=1,Въвеждане!$B$10*C195/SUMPRODUCT($C$5:$C$261,$K$5:$K$261),0)</f>
        <v>35.0779510022272</v>
      </c>
      <c r="P195" s="16" t="n">
        <f aca="false">SUM(L195:O195)</f>
        <v>137.360339157904</v>
      </c>
    </row>
    <row r="196" customFormat="false" ht="15" hidden="false" customHeight="false" outlineLevel="0" collapsed="false">
      <c r="A196" s="12" t="n">
        <v>192</v>
      </c>
      <c r="B196" s="12" t="s">
        <v>257</v>
      </c>
      <c r="C196" s="20" t="n">
        <v>0.263</v>
      </c>
      <c r="D196" s="12" t="s">
        <v>62</v>
      </c>
      <c r="E196" s="12" t="n">
        <v>3</v>
      </c>
      <c r="F196" s="12"/>
      <c r="H196" s="21" t="n">
        <v>1</v>
      </c>
      <c r="I196" s="21" t="n">
        <v>1</v>
      </c>
      <c r="J196" s="21" t="n">
        <v>1</v>
      </c>
      <c r="K196" s="21" t="n">
        <v>1</v>
      </c>
      <c r="L196" s="13" t="n">
        <f aca="false">IF(H196=1,Въвеждане!$B$17/SUM($H$5:$H$261),0)</f>
        <v>88.7096774193548</v>
      </c>
      <c r="M196" s="13" t="n">
        <f aca="false">IF(I196=1,Въвеждане!$B$8/SUM($I$5:$I$261),0)</f>
        <v>3.2520325203252</v>
      </c>
      <c r="N196" s="13" t="n">
        <f aca="false">IF(J196=1,Въвеждане!$B$9*C196/SUMPRODUCT($C$5:$C$261,$J$5:$J$261),0)</f>
        <v>17.6255738364106</v>
      </c>
      <c r="O196" s="13" t="n">
        <f aca="false">IF(K196=1,Въвеждане!$B$10*C196/SUMPRODUCT($C$5:$C$261,$K$5:$K$261),0)</f>
        <v>59.9058513869204</v>
      </c>
      <c r="P196" s="16" t="n">
        <f aca="false">SUM(L196:O196)</f>
        <v>169.493135163011</v>
      </c>
    </row>
    <row r="197" customFormat="false" ht="15" hidden="false" customHeight="false" outlineLevel="0" collapsed="false">
      <c r="A197" s="12" t="n">
        <v>193</v>
      </c>
      <c r="B197" s="12" t="s">
        <v>258</v>
      </c>
      <c r="C197" s="20" t="n">
        <v>0.171</v>
      </c>
      <c r="D197" s="12" t="s">
        <v>62</v>
      </c>
      <c r="E197" s="12" t="n">
        <v>3</v>
      </c>
      <c r="F197" s="12"/>
      <c r="H197" s="21" t="n">
        <v>1</v>
      </c>
      <c r="I197" s="21" t="n">
        <v>1</v>
      </c>
      <c r="J197" s="21" t="n">
        <v>1</v>
      </c>
      <c r="K197" s="21" t="n">
        <v>1</v>
      </c>
      <c r="L197" s="13" t="n">
        <f aca="false">IF(H197=1,Въвеждане!$B$17/SUM($H$5:$H$261),0)</f>
        <v>88.7096774193548</v>
      </c>
      <c r="M197" s="13" t="n">
        <f aca="false">IF(I197=1,Въвеждане!$B$8/SUM($I$5:$I$261),0)</f>
        <v>3.2520325203252</v>
      </c>
      <c r="N197" s="13" t="n">
        <f aca="false">IF(J197=1,Въвеждане!$B$9*C197/SUMPRODUCT($C$5:$C$261,$J$5:$J$261),0)</f>
        <v>11.4599738632175</v>
      </c>
      <c r="O197" s="13" t="n">
        <f aca="false">IF(K197=1,Въвеждане!$B$10*C197/SUMPRODUCT($C$5:$C$261,$K$5:$K$261),0)</f>
        <v>38.9501923466289</v>
      </c>
      <c r="P197" s="16" t="n">
        <f aca="false">SUM(L197:O197)</f>
        <v>142.371876149526</v>
      </c>
    </row>
    <row r="198" customFormat="false" ht="15" hidden="false" customHeight="false" outlineLevel="0" collapsed="false">
      <c r="A198" s="12" t="n">
        <v>194</v>
      </c>
      <c r="B198" s="12" t="s">
        <v>259</v>
      </c>
      <c r="C198" s="20" t="n">
        <v>0.202</v>
      </c>
      <c r="D198" s="12" t="s">
        <v>62</v>
      </c>
      <c r="E198" s="12" t="n">
        <v>3</v>
      </c>
      <c r="F198" s="12"/>
      <c r="H198" s="21" t="n">
        <v>1</v>
      </c>
      <c r="I198" s="21" t="n">
        <v>1</v>
      </c>
      <c r="J198" s="21" t="n">
        <v>1</v>
      </c>
      <c r="K198" s="21" t="n">
        <v>1</v>
      </c>
      <c r="L198" s="13" t="n">
        <f aca="false">IF(H198=1,Въвеждане!$B$17/SUM($H$5:$H$261),0)</f>
        <v>88.7096774193548</v>
      </c>
      <c r="M198" s="13" t="n">
        <f aca="false">IF(I198=1,Въвеждане!$B$8/SUM($I$5:$I$261),0)</f>
        <v>3.2520325203252</v>
      </c>
      <c r="N198" s="13" t="n">
        <f aca="false">IF(J198=1,Въвеждане!$B$9*C198/SUMPRODUCT($C$5:$C$261,$J$5:$J$261),0)</f>
        <v>13.5375129846195</v>
      </c>
      <c r="O198" s="13" t="n">
        <f aca="false">IF(K198=1,Въвеждане!$B$10*C198/SUMPRODUCT($C$5:$C$261,$K$5:$K$261),0)</f>
        <v>46.0113383275967</v>
      </c>
      <c r="P198" s="16" t="n">
        <f aca="false">SUM(L198:O198)</f>
        <v>151.510561251896</v>
      </c>
    </row>
    <row r="199" customFormat="false" ht="15" hidden="false" customHeight="false" outlineLevel="0" collapsed="false">
      <c r="A199" s="12" t="n">
        <v>195</v>
      </c>
      <c r="B199" s="12" t="s">
        <v>260</v>
      </c>
      <c r="C199" s="20" t="n">
        <v>0.157</v>
      </c>
      <c r="D199" s="12" t="s">
        <v>62</v>
      </c>
      <c r="E199" s="12" t="n">
        <v>3</v>
      </c>
      <c r="F199" s="12"/>
      <c r="H199" s="21" t="n">
        <v>1</v>
      </c>
      <c r="I199" s="21" t="n">
        <v>1</v>
      </c>
      <c r="J199" s="21" t="n">
        <v>1</v>
      </c>
      <c r="K199" s="21" t="n">
        <v>1</v>
      </c>
      <c r="L199" s="13" t="n">
        <f aca="false">IF(H199=1,Въвеждане!$B$17/SUM($H$5:$H$261),0)</f>
        <v>88.7096774193548</v>
      </c>
      <c r="M199" s="13" t="n">
        <f aca="false">IF(I199=1,Въвеждане!$B$8/SUM($I$5:$I$261),0)</f>
        <v>3.2520325203252</v>
      </c>
      <c r="N199" s="13" t="n">
        <f aca="false">IF(J199=1,Въвеждане!$B$9*C199/SUMPRODUCT($C$5:$C$261,$J$5:$J$261),0)</f>
        <v>10.521730389036</v>
      </c>
      <c r="O199" s="13" t="n">
        <f aca="false">IF(K199=1,Въвеждане!$B$10*C199/SUMPRODUCT($C$5:$C$261,$K$5:$K$261),0)</f>
        <v>35.7612877100628</v>
      </c>
      <c r="P199" s="16" t="n">
        <f aca="false">SUM(L199:O199)</f>
        <v>138.244728038779</v>
      </c>
    </row>
    <row r="200" customFormat="false" ht="15" hidden="false" customHeight="false" outlineLevel="0" collapsed="false">
      <c r="A200" s="12" t="n">
        <v>196</v>
      </c>
      <c r="B200" s="12" t="s">
        <v>261</v>
      </c>
      <c r="C200" s="20" t="n">
        <v>0.112</v>
      </c>
      <c r="D200" s="12" t="s">
        <v>62</v>
      </c>
      <c r="E200" s="12" t="n">
        <v>3</v>
      </c>
      <c r="F200" s="12"/>
      <c r="H200" s="21" t="n">
        <v>1</v>
      </c>
      <c r="I200" s="21" t="n">
        <v>1</v>
      </c>
      <c r="J200" s="21" t="n">
        <v>1</v>
      </c>
      <c r="K200" s="21" t="n">
        <v>1</v>
      </c>
      <c r="L200" s="13" t="n">
        <f aca="false">IF(H200=1,Въвеждане!$B$17/SUM($H$5:$H$261),0)</f>
        <v>88.7096774193548</v>
      </c>
      <c r="M200" s="13" t="n">
        <f aca="false">IF(I200=1,Въвеждане!$B$8/SUM($I$5:$I$261),0)</f>
        <v>3.2520325203252</v>
      </c>
      <c r="N200" s="13" t="n">
        <f aca="false">IF(J200=1,Въвеждане!$B$9*C200/SUMPRODUCT($C$5:$C$261,$J$5:$J$261),0)</f>
        <v>7.5059477934524</v>
      </c>
      <c r="O200" s="13" t="n">
        <f aca="false">IF(K200=1,Въвеждане!$B$10*C200/SUMPRODUCT($C$5:$C$261,$K$5:$K$261),0)</f>
        <v>25.5112370925289</v>
      </c>
      <c r="P200" s="16" t="n">
        <f aca="false">SUM(L200:O200)</f>
        <v>124.978894825661</v>
      </c>
    </row>
    <row r="201" customFormat="false" ht="15" hidden="false" customHeight="false" outlineLevel="0" collapsed="false">
      <c r="A201" s="12" t="n">
        <v>197</v>
      </c>
      <c r="B201" s="12" t="s">
        <v>262</v>
      </c>
      <c r="C201" s="20" t="n">
        <v>0.153</v>
      </c>
      <c r="D201" s="12" t="s">
        <v>62</v>
      </c>
      <c r="E201" s="12" t="n">
        <v>3</v>
      </c>
      <c r="F201" s="12"/>
      <c r="H201" s="21" t="n">
        <v>1</v>
      </c>
      <c r="I201" s="21" t="n">
        <v>1</v>
      </c>
      <c r="J201" s="21" t="n">
        <v>1</v>
      </c>
      <c r="K201" s="21" t="n">
        <v>1</v>
      </c>
      <c r="L201" s="13" t="n">
        <f aca="false">IF(H201=1,Въвеждане!$B$17/SUM($H$5:$H$261),0)</f>
        <v>88.7096774193548</v>
      </c>
      <c r="M201" s="13" t="n">
        <f aca="false">IF(I201=1,Въвеждане!$B$8/SUM($I$5:$I$261),0)</f>
        <v>3.2520325203252</v>
      </c>
      <c r="N201" s="13" t="n">
        <f aca="false">IF(J201=1,Въвеждане!$B$9*C201/SUMPRODUCT($C$5:$C$261,$J$5:$J$261),0)</f>
        <v>10.2536608249841</v>
      </c>
      <c r="O201" s="13" t="n">
        <f aca="false">IF(K201=1,Въвеждане!$B$10*C201/SUMPRODUCT($C$5:$C$261,$K$5:$K$261),0)</f>
        <v>34.8501720996153</v>
      </c>
      <c r="P201" s="16" t="n">
        <f aca="false">SUM(L201:O201)</f>
        <v>137.065542864279</v>
      </c>
    </row>
    <row r="202" customFormat="false" ht="15" hidden="false" customHeight="false" outlineLevel="0" collapsed="false">
      <c r="A202" s="12" t="n">
        <v>198</v>
      </c>
      <c r="B202" s="12" t="s">
        <v>263</v>
      </c>
      <c r="C202" s="20" t="n">
        <v>0.157</v>
      </c>
      <c r="D202" s="12" t="s">
        <v>62</v>
      </c>
      <c r="E202" s="12" t="n">
        <v>3</v>
      </c>
      <c r="F202" s="12"/>
      <c r="H202" s="21" t="n">
        <v>1</v>
      </c>
      <c r="I202" s="21" t="n">
        <v>1</v>
      </c>
      <c r="J202" s="21" t="n">
        <v>1</v>
      </c>
      <c r="K202" s="21" t="n">
        <v>1</v>
      </c>
      <c r="L202" s="13" t="n">
        <f aca="false">IF(H202=1,Въвеждане!$B$17/SUM($H$5:$H$261),0)</f>
        <v>88.7096774193548</v>
      </c>
      <c r="M202" s="13" t="n">
        <f aca="false">IF(I202=1,Въвеждане!$B$8/SUM($I$5:$I$261),0)</f>
        <v>3.2520325203252</v>
      </c>
      <c r="N202" s="13" t="n">
        <f aca="false">IF(J202=1,Въвеждане!$B$9*C202/SUMPRODUCT($C$5:$C$261,$J$5:$J$261),0)</f>
        <v>10.521730389036</v>
      </c>
      <c r="O202" s="13" t="n">
        <f aca="false">IF(K202=1,Въвеждане!$B$10*C202/SUMPRODUCT($C$5:$C$261,$K$5:$K$261),0)</f>
        <v>35.7612877100628</v>
      </c>
      <c r="P202" s="16" t="n">
        <f aca="false">SUM(L202:O202)</f>
        <v>138.244728038779</v>
      </c>
    </row>
    <row r="203" customFormat="false" ht="15" hidden="false" customHeight="false" outlineLevel="0" collapsed="false">
      <c r="A203" s="12" t="n">
        <v>199</v>
      </c>
      <c r="B203" s="12" t="s">
        <v>264</v>
      </c>
      <c r="C203" s="20" t="n">
        <v>0.103</v>
      </c>
      <c r="D203" s="12" t="s">
        <v>62</v>
      </c>
      <c r="E203" s="12" t="n">
        <v>3</v>
      </c>
      <c r="F203" s="12"/>
      <c r="H203" s="21" t="n">
        <v>1</v>
      </c>
      <c r="I203" s="21" t="n">
        <v>1</v>
      </c>
      <c r="J203" s="21" t="n">
        <v>1</v>
      </c>
      <c r="K203" s="21" t="n">
        <v>1</v>
      </c>
      <c r="L203" s="13" t="n">
        <f aca="false">IF(H203=1,Въвеждане!$B$17/SUM($H$5:$H$261),0)</f>
        <v>88.7096774193548</v>
      </c>
      <c r="M203" s="13" t="n">
        <f aca="false">IF(I203=1,Въвеждане!$B$8/SUM($I$5:$I$261),0)</f>
        <v>3.2520325203252</v>
      </c>
      <c r="N203" s="13" t="n">
        <f aca="false">IF(J203=1,Въвеждане!$B$9*C203/SUMPRODUCT($C$5:$C$261,$J$5:$J$261),0)</f>
        <v>6.90279127433569</v>
      </c>
      <c r="O203" s="13" t="n">
        <f aca="false">IF(K203=1,Въвеждане!$B$10*C203/SUMPRODUCT($C$5:$C$261,$K$5:$K$261),0)</f>
        <v>23.4612269690221</v>
      </c>
      <c r="P203" s="16" t="n">
        <f aca="false">SUM(L203:O203)</f>
        <v>122.325728183038</v>
      </c>
    </row>
    <row r="204" customFormat="false" ht="15" hidden="false" customHeight="false" outlineLevel="0" collapsed="false">
      <c r="A204" s="12" t="n">
        <v>200</v>
      </c>
      <c r="B204" s="12" t="s">
        <v>265</v>
      </c>
      <c r="C204" s="20" t="n">
        <v>0.109</v>
      </c>
      <c r="D204" s="12" t="s">
        <v>62</v>
      </c>
      <c r="E204" s="12" t="n">
        <v>3</v>
      </c>
      <c r="F204" s="12"/>
      <c r="H204" s="21" t="n">
        <v>1</v>
      </c>
      <c r="I204" s="21" t="n">
        <v>1</v>
      </c>
      <c r="J204" s="21" t="n">
        <v>1</v>
      </c>
      <c r="K204" s="21" t="n">
        <v>1</v>
      </c>
      <c r="L204" s="13" t="n">
        <f aca="false">IF(H204=1,Въвеждане!$B$17/SUM($H$5:$H$261),0)</f>
        <v>88.7096774193548</v>
      </c>
      <c r="M204" s="13" t="n">
        <f aca="false">IF(I204=1,Въвеждане!$B$8/SUM($I$5:$I$261),0)</f>
        <v>3.2520325203252</v>
      </c>
      <c r="N204" s="13" t="n">
        <f aca="false">IF(J204=1,Въвеждане!$B$9*C204/SUMPRODUCT($C$5:$C$261,$J$5:$J$261),0)</f>
        <v>7.3048956204135</v>
      </c>
      <c r="O204" s="13" t="n">
        <f aca="false">IF(K204=1,Въвеждане!$B$10*C204/SUMPRODUCT($C$5:$C$261,$K$5:$K$261),0)</f>
        <v>24.8279003846933</v>
      </c>
      <c r="P204" s="16" t="n">
        <f aca="false">SUM(L204:O204)</f>
        <v>124.094505944787</v>
      </c>
    </row>
    <row r="205" customFormat="false" ht="15" hidden="false" customHeight="false" outlineLevel="0" collapsed="false">
      <c r="A205" s="12" t="n">
        <v>201</v>
      </c>
      <c r="B205" s="12" t="s">
        <v>266</v>
      </c>
      <c r="C205" s="20" t="n">
        <v>0.176</v>
      </c>
      <c r="D205" s="12" t="s">
        <v>62</v>
      </c>
      <c r="E205" s="12" t="n">
        <v>3</v>
      </c>
      <c r="F205" s="12"/>
      <c r="H205" s="21" t="n">
        <v>1</v>
      </c>
      <c r="I205" s="21" t="n">
        <v>1</v>
      </c>
      <c r="J205" s="21" t="n">
        <v>1</v>
      </c>
      <c r="K205" s="21" t="n">
        <v>1</v>
      </c>
      <c r="L205" s="13" t="n">
        <f aca="false">IF(H205=1,Въвеждане!$B$17/SUM($H$5:$H$261),0)</f>
        <v>88.7096774193548</v>
      </c>
      <c r="M205" s="13" t="n">
        <f aca="false">IF(I205=1,Въвеждане!$B$8/SUM($I$5:$I$261),0)</f>
        <v>3.2520325203252</v>
      </c>
      <c r="N205" s="13" t="n">
        <f aca="false">IF(J205=1,Въвеждане!$B$9*C205/SUMPRODUCT($C$5:$C$261,$J$5:$J$261),0)</f>
        <v>11.7950608182823</v>
      </c>
      <c r="O205" s="13" t="n">
        <f aca="false">IF(K205=1,Въвеждане!$B$10*C205/SUMPRODUCT($C$5:$C$261,$K$5:$K$261),0)</f>
        <v>40.0890868596882</v>
      </c>
      <c r="P205" s="16" t="n">
        <f aca="false">SUM(L205:O205)</f>
        <v>143.845857617651</v>
      </c>
    </row>
    <row r="206" customFormat="false" ht="15" hidden="false" customHeight="false" outlineLevel="0" collapsed="false">
      <c r="A206" s="12" t="n">
        <v>202</v>
      </c>
      <c r="B206" s="12" t="s">
        <v>267</v>
      </c>
      <c r="C206" s="20" t="n">
        <v>0.239</v>
      </c>
      <c r="D206" s="12" t="s">
        <v>62</v>
      </c>
      <c r="E206" s="12" t="n">
        <v>3</v>
      </c>
      <c r="F206" s="12"/>
      <c r="H206" s="21" t="n">
        <v>1</v>
      </c>
      <c r="I206" s="21" t="n">
        <v>1</v>
      </c>
      <c r="J206" s="21" t="n">
        <v>1</v>
      </c>
      <c r="K206" s="21" t="n">
        <v>1</v>
      </c>
      <c r="L206" s="13" t="n">
        <f aca="false">IF(H206=1,Въвеждане!$B$17/SUM($H$5:$H$261),0)</f>
        <v>88.7096774193548</v>
      </c>
      <c r="M206" s="13" t="n">
        <f aca="false">IF(I206=1,Въвеждане!$B$8/SUM($I$5:$I$261),0)</f>
        <v>3.2520325203252</v>
      </c>
      <c r="N206" s="13" t="n">
        <f aca="false">IF(J206=1,Въвеждане!$B$9*C206/SUMPRODUCT($C$5:$C$261,$J$5:$J$261),0)</f>
        <v>16.0171564520993</v>
      </c>
      <c r="O206" s="13" t="n">
        <f aca="false">IF(K206=1,Въвеждане!$B$10*C206/SUMPRODUCT($C$5:$C$261,$K$5:$K$261),0)</f>
        <v>54.4391577242357</v>
      </c>
      <c r="P206" s="16" t="n">
        <f aca="false">SUM(L206:O206)</f>
        <v>162.418024116015</v>
      </c>
    </row>
    <row r="207" customFormat="false" ht="15" hidden="false" customHeight="false" outlineLevel="0" collapsed="false">
      <c r="A207" s="12" t="n">
        <v>203</v>
      </c>
      <c r="B207" s="12" t="s">
        <v>268</v>
      </c>
      <c r="C207" s="20" t="n">
        <v>0.128</v>
      </c>
      <c r="D207" s="12" t="s">
        <v>62</v>
      </c>
      <c r="E207" s="12" t="n">
        <v>3</v>
      </c>
      <c r="F207" s="12"/>
      <c r="H207" s="21" t="n">
        <v>1</v>
      </c>
      <c r="I207" s="21" t="n">
        <v>1</v>
      </c>
      <c r="J207" s="21" t="n">
        <v>1</v>
      </c>
      <c r="K207" s="21" t="n">
        <v>1</v>
      </c>
      <c r="L207" s="13" t="n">
        <f aca="false">IF(H207=1,Въвеждане!$B$17/SUM($H$5:$H$261),0)</f>
        <v>88.7096774193548</v>
      </c>
      <c r="M207" s="13" t="n">
        <f aca="false">IF(I207=1,Въвеждане!$B$8/SUM($I$5:$I$261),0)</f>
        <v>3.2520325203252</v>
      </c>
      <c r="N207" s="13" t="n">
        <f aca="false">IF(J207=1,Въвеждане!$B$9*C207/SUMPRODUCT($C$5:$C$261,$J$5:$J$261),0)</f>
        <v>8.57822604965989</v>
      </c>
      <c r="O207" s="13" t="n">
        <f aca="false">IF(K207=1,Въвеждане!$B$10*C207/SUMPRODUCT($C$5:$C$261,$K$5:$K$261),0)</f>
        <v>29.1556995343187</v>
      </c>
      <c r="P207" s="16" t="n">
        <f aca="false">SUM(L207:O207)</f>
        <v>129.695635523659</v>
      </c>
    </row>
    <row r="208" customFormat="false" ht="15" hidden="false" customHeight="false" outlineLevel="0" collapsed="false">
      <c r="A208" s="12" t="n">
        <v>204</v>
      </c>
      <c r="B208" s="12" t="s">
        <v>269</v>
      </c>
      <c r="C208" s="20" t="n">
        <v>0.128</v>
      </c>
      <c r="D208" s="12" t="s">
        <v>62</v>
      </c>
      <c r="E208" s="12" t="n">
        <v>3</v>
      </c>
      <c r="F208" s="12"/>
      <c r="H208" s="21" t="n">
        <v>1</v>
      </c>
      <c r="I208" s="21" t="n">
        <v>1</v>
      </c>
      <c r="J208" s="21" t="n">
        <v>1</v>
      </c>
      <c r="K208" s="21" t="n">
        <v>1</v>
      </c>
      <c r="L208" s="13" t="n">
        <f aca="false">IF(H208=1,Въвеждане!$B$17/SUM($H$5:$H$261),0)</f>
        <v>88.7096774193548</v>
      </c>
      <c r="M208" s="13" t="n">
        <f aca="false">IF(I208=1,Въвеждане!$B$8/SUM($I$5:$I$261),0)</f>
        <v>3.2520325203252</v>
      </c>
      <c r="N208" s="13" t="n">
        <f aca="false">IF(J208=1,Въвеждане!$B$9*C208/SUMPRODUCT($C$5:$C$261,$J$5:$J$261),0)</f>
        <v>8.57822604965989</v>
      </c>
      <c r="O208" s="13" t="n">
        <f aca="false">IF(K208=1,Въвеждане!$B$10*C208/SUMPRODUCT($C$5:$C$261,$K$5:$K$261),0)</f>
        <v>29.1556995343187</v>
      </c>
      <c r="P208" s="16" t="n">
        <f aca="false">SUM(L208:O208)</f>
        <v>129.695635523659</v>
      </c>
    </row>
    <row r="209" customFormat="false" ht="15" hidden="false" customHeight="false" outlineLevel="0" collapsed="false">
      <c r="A209" s="12" t="n">
        <v>205</v>
      </c>
      <c r="B209" s="12" t="s">
        <v>270</v>
      </c>
      <c r="C209" s="20" t="n">
        <v>0.155</v>
      </c>
      <c r="D209" s="12" t="s">
        <v>62</v>
      </c>
      <c r="E209" s="12" t="n">
        <v>3</v>
      </c>
      <c r="F209" s="12"/>
      <c r="H209" s="21" t="n">
        <v>1</v>
      </c>
      <c r="I209" s="21" t="n">
        <v>1</v>
      </c>
      <c r="J209" s="21" t="n">
        <v>1</v>
      </c>
      <c r="K209" s="21" t="n">
        <v>1</v>
      </c>
      <c r="L209" s="13" t="n">
        <f aca="false">IF(H209=1,Въвеждане!$B$17/SUM($H$5:$H$261),0)</f>
        <v>88.7096774193548</v>
      </c>
      <c r="M209" s="13" t="n">
        <f aca="false">IF(I209=1,Въвеждане!$B$8/SUM($I$5:$I$261),0)</f>
        <v>3.2520325203252</v>
      </c>
      <c r="N209" s="13" t="n">
        <f aca="false">IF(J209=1,Въвеждане!$B$9*C209/SUMPRODUCT($C$5:$C$261,$J$5:$J$261),0)</f>
        <v>10.38769560701</v>
      </c>
      <c r="O209" s="13" t="n">
        <f aca="false">IF(K209=1,Въвеждане!$B$10*C209/SUMPRODUCT($C$5:$C$261,$K$5:$K$261),0)</f>
        <v>35.305729904839</v>
      </c>
      <c r="P209" s="16" t="n">
        <f aca="false">SUM(L209:O209)</f>
        <v>137.655135451529</v>
      </c>
    </row>
    <row r="210" customFormat="false" ht="15" hidden="false" customHeight="false" outlineLevel="0" collapsed="false">
      <c r="A210" s="12" t="n">
        <v>206</v>
      </c>
      <c r="B210" s="12" t="s">
        <v>271</v>
      </c>
      <c r="C210" s="20" t="n">
        <v>0.16</v>
      </c>
      <c r="D210" s="12" t="s">
        <v>62</v>
      </c>
      <c r="E210" s="12" t="n">
        <v>3</v>
      </c>
      <c r="F210" s="12"/>
      <c r="H210" s="21" t="n">
        <v>1</v>
      </c>
      <c r="I210" s="21" t="n">
        <v>1</v>
      </c>
      <c r="J210" s="21" t="n">
        <v>1</v>
      </c>
      <c r="K210" s="21" t="n">
        <v>1</v>
      </c>
      <c r="L210" s="13" t="n">
        <f aca="false">IF(H210=1,Въвеждане!$B$17/SUM($H$5:$H$261),0)</f>
        <v>88.7096774193548</v>
      </c>
      <c r="M210" s="13" t="n">
        <f aca="false">IF(I210=1,Въвеждане!$B$8/SUM($I$5:$I$261),0)</f>
        <v>3.2520325203252</v>
      </c>
      <c r="N210" s="13" t="n">
        <f aca="false">IF(J210=1,Въвеждане!$B$9*C210/SUMPRODUCT($C$5:$C$261,$J$5:$J$261),0)</f>
        <v>10.7227825620749</v>
      </c>
      <c r="O210" s="13" t="n">
        <f aca="false">IF(K210=1,Въвеждане!$B$10*C210/SUMPRODUCT($C$5:$C$261,$K$5:$K$261),0)</f>
        <v>36.4446244178984</v>
      </c>
      <c r="P210" s="16" t="n">
        <f aca="false">SUM(L210:O210)</f>
        <v>139.129116919653</v>
      </c>
    </row>
    <row r="211" customFormat="false" ht="15" hidden="false" customHeight="false" outlineLevel="0" collapsed="false">
      <c r="A211" s="12" t="n">
        <v>207</v>
      </c>
      <c r="B211" s="12" t="s">
        <v>272</v>
      </c>
      <c r="C211" s="20" t="n">
        <v>0.109</v>
      </c>
      <c r="D211" s="12" t="s">
        <v>62</v>
      </c>
      <c r="E211" s="12" t="n">
        <v>3</v>
      </c>
      <c r="F211" s="12"/>
      <c r="H211" s="21" t="n">
        <v>1</v>
      </c>
      <c r="I211" s="21" t="n">
        <v>1</v>
      </c>
      <c r="J211" s="21" t="n">
        <v>1</v>
      </c>
      <c r="K211" s="21" t="n">
        <v>1</v>
      </c>
      <c r="L211" s="13" t="n">
        <f aca="false">IF(H211=1,Въвеждане!$B$17/SUM($H$5:$H$261),0)</f>
        <v>88.7096774193548</v>
      </c>
      <c r="M211" s="13" t="n">
        <f aca="false">IF(I211=1,Въвеждане!$B$8/SUM($I$5:$I$261),0)</f>
        <v>3.2520325203252</v>
      </c>
      <c r="N211" s="13" t="n">
        <f aca="false">IF(J211=1,Въвеждане!$B$9*C211/SUMPRODUCT($C$5:$C$261,$J$5:$J$261),0)</f>
        <v>7.3048956204135</v>
      </c>
      <c r="O211" s="13" t="n">
        <f aca="false">IF(K211=1,Въвеждане!$B$10*C211/SUMPRODUCT($C$5:$C$261,$K$5:$K$261),0)</f>
        <v>24.8279003846933</v>
      </c>
      <c r="P211" s="16" t="n">
        <f aca="false">SUM(L211:O211)</f>
        <v>124.094505944787</v>
      </c>
    </row>
    <row r="212" customFormat="false" ht="15" hidden="false" customHeight="false" outlineLevel="0" collapsed="false">
      <c r="A212" s="12" t="n">
        <v>208</v>
      </c>
      <c r="B212" s="12" t="s">
        <v>273</v>
      </c>
      <c r="C212" s="20" t="n">
        <v>0.155</v>
      </c>
      <c r="D212" s="12" t="s">
        <v>62</v>
      </c>
      <c r="E212" s="12" t="n">
        <v>3</v>
      </c>
      <c r="F212" s="12"/>
      <c r="H212" s="21" t="n">
        <v>1</v>
      </c>
      <c r="I212" s="21" t="n">
        <v>1</v>
      </c>
      <c r="J212" s="21" t="n">
        <v>1</v>
      </c>
      <c r="K212" s="21" t="n">
        <v>1</v>
      </c>
      <c r="L212" s="13" t="n">
        <f aca="false">IF(H212=1,Въвеждане!$B$17/SUM($H$5:$H$261),0)</f>
        <v>88.7096774193548</v>
      </c>
      <c r="M212" s="13" t="n">
        <f aca="false">IF(I212=1,Въвеждане!$B$8/SUM($I$5:$I$261),0)</f>
        <v>3.2520325203252</v>
      </c>
      <c r="N212" s="13" t="n">
        <f aca="false">IF(J212=1,Въвеждане!$B$9*C212/SUMPRODUCT($C$5:$C$261,$J$5:$J$261),0)</f>
        <v>10.38769560701</v>
      </c>
      <c r="O212" s="13" t="n">
        <f aca="false">IF(K212=1,Въвеждане!$B$10*C212/SUMPRODUCT($C$5:$C$261,$K$5:$K$261),0)</f>
        <v>35.305729904839</v>
      </c>
      <c r="P212" s="16" t="n">
        <f aca="false">SUM(L212:O212)</f>
        <v>137.655135451529</v>
      </c>
    </row>
    <row r="213" customFormat="false" ht="15" hidden="false" customHeight="false" outlineLevel="0" collapsed="false">
      <c r="A213" s="12" t="n">
        <v>209</v>
      </c>
      <c r="B213" s="12" t="s">
        <v>274</v>
      </c>
      <c r="C213" s="20" t="n">
        <v>0.24</v>
      </c>
      <c r="D213" s="12" t="s">
        <v>62</v>
      </c>
      <c r="E213" s="12" t="n">
        <v>3</v>
      </c>
      <c r="F213" s="12"/>
      <c r="H213" s="21" t="n">
        <v>1</v>
      </c>
      <c r="I213" s="21" t="n">
        <v>1</v>
      </c>
      <c r="J213" s="21" t="n">
        <v>1</v>
      </c>
      <c r="K213" s="21" t="n">
        <v>1</v>
      </c>
      <c r="L213" s="13" t="n">
        <f aca="false">IF(H213=1,Въвеждане!$B$17/SUM($H$5:$H$261),0)</f>
        <v>88.7096774193548</v>
      </c>
      <c r="M213" s="13" t="n">
        <f aca="false">IF(I213=1,Въвеждане!$B$8/SUM($I$5:$I$261),0)</f>
        <v>3.2520325203252</v>
      </c>
      <c r="N213" s="13" t="n">
        <f aca="false">IF(J213=1,Въвеждане!$B$9*C213/SUMPRODUCT($C$5:$C$261,$J$5:$J$261),0)</f>
        <v>16.0841738431123</v>
      </c>
      <c r="O213" s="13" t="n">
        <f aca="false">IF(K213=1,Въвеждане!$B$10*C213/SUMPRODUCT($C$5:$C$261,$K$5:$K$261),0)</f>
        <v>54.6669366268475</v>
      </c>
      <c r="P213" s="16" t="n">
        <f aca="false">SUM(L213:O213)</f>
        <v>162.71282040964</v>
      </c>
    </row>
    <row r="214" customFormat="false" ht="15" hidden="false" customHeight="false" outlineLevel="0" collapsed="false">
      <c r="A214" s="12" t="n">
        <v>210</v>
      </c>
      <c r="B214" s="12" t="s">
        <v>275</v>
      </c>
      <c r="C214" s="20" t="n">
        <v>0.633</v>
      </c>
      <c r="D214" s="12" t="s">
        <v>62</v>
      </c>
      <c r="E214" s="12" t="n">
        <v>3</v>
      </c>
      <c r="F214" s="12"/>
      <c r="H214" s="21" t="n">
        <v>1</v>
      </c>
      <c r="I214" s="21" t="n">
        <v>1</v>
      </c>
      <c r="J214" s="21" t="n">
        <v>1</v>
      </c>
      <c r="K214" s="21" t="n">
        <v>1</v>
      </c>
      <c r="L214" s="13" t="n">
        <f aca="false">IF(H214=1,Въвеждане!$B$17/SUM($H$5:$H$261),0)</f>
        <v>88.7096774193548</v>
      </c>
      <c r="M214" s="13" t="n">
        <f aca="false">IF(I214=1,Въвеждане!$B$8/SUM($I$5:$I$261),0)</f>
        <v>3.2520325203252</v>
      </c>
      <c r="N214" s="13" t="n">
        <f aca="false">IF(J214=1,Въвеждане!$B$9*C214/SUMPRODUCT($C$5:$C$261,$J$5:$J$261),0)</f>
        <v>42.4220085112087</v>
      </c>
      <c r="O214" s="13" t="n">
        <f aca="false">IF(K214=1,Въвеждане!$B$10*C214/SUMPRODUCT($C$5:$C$261,$K$5:$K$261),0)</f>
        <v>144.18404535331</v>
      </c>
      <c r="P214" s="16" t="n">
        <f aca="false">SUM(L214:O214)</f>
        <v>278.567763804199</v>
      </c>
    </row>
    <row r="215" customFormat="false" ht="15" hidden="false" customHeight="false" outlineLevel="0" collapsed="false">
      <c r="A215" s="12" t="n">
        <v>211</v>
      </c>
      <c r="B215" s="12" t="s">
        <v>276</v>
      </c>
      <c r="C215" s="20" t="n">
        <v>0.185</v>
      </c>
      <c r="D215" s="12" t="s">
        <v>62</v>
      </c>
      <c r="E215" s="12" t="n">
        <v>3</v>
      </c>
      <c r="F215" s="12"/>
      <c r="H215" s="21" t="n">
        <v>1</v>
      </c>
      <c r="I215" s="21" t="n">
        <v>1</v>
      </c>
      <c r="J215" s="21" t="n">
        <v>1</v>
      </c>
      <c r="K215" s="21" t="n">
        <v>1</v>
      </c>
      <c r="L215" s="13" t="n">
        <f aca="false">IF(H215=1,Въвеждане!$B$17/SUM($H$5:$H$261),0)</f>
        <v>88.7096774193548</v>
      </c>
      <c r="M215" s="13" t="n">
        <f aca="false">IF(I215=1,Въвеждане!$B$8/SUM($I$5:$I$261),0)</f>
        <v>3.2520325203252</v>
      </c>
      <c r="N215" s="13" t="n">
        <f aca="false">IF(J215=1,Въвеждане!$B$9*C215/SUMPRODUCT($C$5:$C$261,$J$5:$J$261),0)</f>
        <v>12.3982173373991</v>
      </c>
      <c r="O215" s="13" t="n">
        <f aca="false">IF(K215=1,Въвеждане!$B$10*C215/SUMPRODUCT($C$5:$C$261,$K$5:$K$261),0)</f>
        <v>42.139096983195</v>
      </c>
      <c r="P215" s="16" t="n">
        <f aca="false">SUM(L215:O215)</f>
        <v>146.499024260274</v>
      </c>
    </row>
    <row r="216" customFormat="false" ht="15" hidden="false" customHeight="false" outlineLevel="0" collapsed="false">
      <c r="A216" s="12" t="n">
        <v>212</v>
      </c>
      <c r="B216" s="12" t="s">
        <v>277</v>
      </c>
      <c r="C216" s="20" t="n">
        <v>0.169</v>
      </c>
      <c r="D216" s="12" t="s">
        <v>62</v>
      </c>
      <c r="E216" s="12" t="n">
        <v>3</v>
      </c>
      <c r="F216" s="12"/>
      <c r="H216" s="21" t="n">
        <v>1</v>
      </c>
      <c r="I216" s="21" t="n">
        <v>1</v>
      </c>
      <c r="J216" s="21" t="n">
        <v>1</v>
      </c>
      <c r="K216" s="21" t="n">
        <v>1</v>
      </c>
      <c r="L216" s="13" t="n">
        <f aca="false">IF(H216=1,Въвеждане!$B$17/SUM($H$5:$H$261),0)</f>
        <v>88.7096774193548</v>
      </c>
      <c r="M216" s="13" t="n">
        <f aca="false">IF(I216=1,Въвеждане!$B$8/SUM($I$5:$I$261),0)</f>
        <v>3.2520325203252</v>
      </c>
      <c r="N216" s="13" t="n">
        <f aca="false">IF(J216=1,Въвеждане!$B$9*C216/SUMPRODUCT($C$5:$C$261,$J$5:$J$261),0)</f>
        <v>11.3259390811916</v>
      </c>
      <c r="O216" s="13" t="n">
        <f aca="false">IF(K216=1,Въвеждане!$B$10*C216/SUMPRODUCT($C$5:$C$261,$K$5:$K$261),0)</f>
        <v>38.4946345414051</v>
      </c>
      <c r="P216" s="16" t="n">
        <f aca="false">SUM(L216:O216)</f>
        <v>141.782283562277</v>
      </c>
    </row>
    <row r="217" customFormat="false" ht="15" hidden="false" customHeight="false" outlineLevel="0" collapsed="false">
      <c r="A217" s="12" t="n">
        <v>213</v>
      </c>
      <c r="B217" s="12" t="s">
        <v>278</v>
      </c>
      <c r="C217" s="20" t="n">
        <v>0.214</v>
      </c>
      <c r="D217" s="12" t="s">
        <v>62</v>
      </c>
      <c r="E217" s="12" t="n">
        <v>3</v>
      </c>
      <c r="F217" s="12"/>
      <c r="H217" s="21" t="n">
        <v>1</v>
      </c>
      <c r="I217" s="21" t="n">
        <v>1</v>
      </c>
      <c r="J217" s="21" t="n">
        <v>1</v>
      </c>
      <c r="K217" s="21" t="n">
        <v>1</v>
      </c>
      <c r="L217" s="13" t="n">
        <f aca="false">IF(H217=1,Въвеждане!$B$17/SUM($H$5:$H$261),0)</f>
        <v>88.7096774193548</v>
      </c>
      <c r="M217" s="13" t="n">
        <f aca="false">IF(I217=1,Въвеждане!$B$8/SUM($I$5:$I$261),0)</f>
        <v>3.2520325203252</v>
      </c>
      <c r="N217" s="13" t="n">
        <f aca="false">IF(J217=1,Въвеждане!$B$9*C217/SUMPRODUCT($C$5:$C$261,$J$5:$J$261),0)</f>
        <v>14.3417216767751</v>
      </c>
      <c r="O217" s="13" t="n">
        <f aca="false">IF(K217=1,Въвеждане!$B$10*C217/SUMPRODUCT($C$5:$C$261,$K$5:$K$261),0)</f>
        <v>48.7446851589391</v>
      </c>
      <c r="P217" s="16" t="n">
        <f aca="false">SUM(L217:O217)</f>
        <v>155.048116775394</v>
      </c>
    </row>
    <row r="218" customFormat="false" ht="15" hidden="false" customHeight="false" outlineLevel="0" collapsed="false">
      <c r="A218" s="12" t="n">
        <v>214</v>
      </c>
      <c r="B218" s="12" t="s">
        <v>279</v>
      </c>
      <c r="C218" s="20" t="n">
        <v>0.52</v>
      </c>
      <c r="D218" s="12" t="s">
        <v>62</v>
      </c>
      <c r="E218" s="12" t="n">
        <v>3</v>
      </c>
      <c r="F218" s="12"/>
      <c r="H218" s="21" t="n">
        <v>1</v>
      </c>
      <c r="I218" s="21" t="n">
        <v>1</v>
      </c>
      <c r="J218" s="21" t="n">
        <v>1</v>
      </c>
      <c r="K218" s="21" t="n">
        <v>1</v>
      </c>
      <c r="L218" s="13" t="n">
        <f aca="false">IF(H218=1,Въвеждане!$B$17/SUM($H$5:$H$261),0)</f>
        <v>88.7096774193548</v>
      </c>
      <c r="M218" s="13" t="n">
        <f aca="false">IF(I218=1,Въвеждане!$B$8/SUM($I$5:$I$261),0)</f>
        <v>3.2520325203252</v>
      </c>
      <c r="N218" s="13" t="n">
        <f aca="false">IF(J218=1,Въвеждане!$B$9*C218/SUMPRODUCT($C$5:$C$261,$J$5:$J$261),0)</f>
        <v>34.8490433267433</v>
      </c>
      <c r="O218" s="13" t="n">
        <f aca="false">IF(K218=1,Въвеждане!$B$10*C218/SUMPRODUCT($C$5:$C$261,$K$5:$K$261),0)</f>
        <v>118.44502935817</v>
      </c>
      <c r="P218" s="16" t="n">
        <f aca="false">SUM(L218:O218)</f>
        <v>245.255782624593</v>
      </c>
    </row>
    <row r="219" customFormat="false" ht="15" hidden="false" customHeight="false" outlineLevel="0" collapsed="false">
      <c r="A219" s="12" t="n">
        <v>215</v>
      </c>
      <c r="B219" s="12" t="s">
        <v>280</v>
      </c>
      <c r="C219" s="20" t="n">
        <v>0.177</v>
      </c>
      <c r="D219" s="12" t="s">
        <v>62</v>
      </c>
      <c r="E219" s="12" t="n">
        <v>3</v>
      </c>
      <c r="F219" s="12"/>
      <c r="H219" s="21" t="n">
        <v>1</v>
      </c>
      <c r="I219" s="21" t="n">
        <v>1</v>
      </c>
      <c r="J219" s="21" t="n">
        <v>1</v>
      </c>
      <c r="K219" s="21" t="n">
        <v>1</v>
      </c>
      <c r="L219" s="13" t="n">
        <f aca="false">IF(H219=1,Въвеждане!$B$17/SUM($H$5:$H$261),0)</f>
        <v>88.7096774193548</v>
      </c>
      <c r="M219" s="13" t="n">
        <f aca="false">IF(I219=1,Въвеждане!$B$8/SUM($I$5:$I$261),0)</f>
        <v>3.2520325203252</v>
      </c>
      <c r="N219" s="13" t="n">
        <f aca="false">IF(J219=1,Въвеждане!$B$9*C219/SUMPRODUCT($C$5:$C$261,$J$5:$J$261),0)</f>
        <v>11.8620782092953</v>
      </c>
      <c r="O219" s="13" t="n">
        <f aca="false">IF(K219=1,Въвеждане!$B$10*C219/SUMPRODUCT($C$5:$C$261,$K$5:$K$261),0)</f>
        <v>40.3168657623001</v>
      </c>
      <c r="P219" s="16" t="n">
        <f aca="false">SUM(L219:O219)</f>
        <v>144.140653911275</v>
      </c>
    </row>
    <row r="220" customFormat="false" ht="15" hidden="false" customHeight="false" outlineLevel="0" collapsed="false">
      <c r="A220" s="12" t="n">
        <v>216</v>
      </c>
      <c r="B220" s="12" t="s">
        <v>281</v>
      </c>
      <c r="C220" s="20" t="n">
        <v>0.178</v>
      </c>
      <c r="D220" s="12" t="s">
        <v>62</v>
      </c>
      <c r="E220" s="12" t="n">
        <v>3</v>
      </c>
      <c r="F220" s="12"/>
      <c r="H220" s="21" t="n">
        <v>1</v>
      </c>
      <c r="I220" s="21" t="n">
        <v>1</v>
      </c>
      <c r="J220" s="21" t="n">
        <v>1</v>
      </c>
      <c r="K220" s="21" t="n">
        <v>1</v>
      </c>
      <c r="L220" s="13" t="n">
        <f aca="false">IF(H220=1,Въвеждане!$B$17/SUM($H$5:$H$261),0)</f>
        <v>88.7096774193548</v>
      </c>
      <c r="M220" s="13" t="n">
        <f aca="false">IF(I220=1,Въвеждане!$B$8/SUM($I$5:$I$261),0)</f>
        <v>3.2520325203252</v>
      </c>
      <c r="N220" s="13" t="n">
        <f aca="false">IF(J220=1,Въвеждане!$B$9*C220/SUMPRODUCT($C$5:$C$261,$J$5:$J$261),0)</f>
        <v>11.9290956003083</v>
      </c>
      <c r="O220" s="13" t="n">
        <f aca="false">IF(K220=1,Въвеждане!$B$10*C220/SUMPRODUCT($C$5:$C$261,$K$5:$K$261),0)</f>
        <v>40.5446446649119</v>
      </c>
      <c r="P220" s="16" t="n">
        <f aca="false">SUM(L220:O220)</f>
        <v>144.4354502049</v>
      </c>
    </row>
    <row r="221" customFormat="false" ht="15" hidden="false" customHeight="false" outlineLevel="0" collapsed="false">
      <c r="A221" s="12" t="n">
        <v>217</v>
      </c>
      <c r="B221" s="12" t="s">
        <v>282</v>
      </c>
      <c r="C221" s="20" t="n">
        <v>0.309</v>
      </c>
      <c r="D221" s="12" t="s">
        <v>62</v>
      </c>
      <c r="E221" s="12" t="n">
        <v>3</v>
      </c>
      <c r="F221" s="12"/>
      <c r="H221" s="21" t="n">
        <v>1</v>
      </c>
      <c r="I221" s="21" t="n">
        <v>1</v>
      </c>
      <c r="J221" s="21" t="n">
        <v>1</v>
      </c>
      <c r="K221" s="21" t="n">
        <v>1</v>
      </c>
      <c r="L221" s="13" t="n">
        <f aca="false">IF(H221=1,Въвеждане!$B$17/SUM($H$5:$H$261),0)</f>
        <v>88.7096774193548</v>
      </c>
      <c r="M221" s="13" t="n">
        <f aca="false">IF(I221=1,Въвеждане!$B$8/SUM($I$5:$I$261),0)</f>
        <v>3.2520325203252</v>
      </c>
      <c r="N221" s="13" t="n">
        <f aca="false">IF(J221=1,Въвеждане!$B$9*C221/SUMPRODUCT($C$5:$C$261,$J$5:$J$261),0)</f>
        <v>20.7083738230071</v>
      </c>
      <c r="O221" s="13" t="n">
        <f aca="false">IF(K221=1,Въвеждане!$B$10*C221/SUMPRODUCT($C$5:$C$261,$K$5:$K$261),0)</f>
        <v>70.3836809070662</v>
      </c>
      <c r="P221" s="16" t="n">
        <f aca="false">SUM(L221:O221)</f>
        <v>183.053764669753</v>
      </c>
    </row>
    <row r="222" customFormat="false" ht="15" hidden="false" customHeight="false" outlineLevel="0" collapsed="false">
      <c r="A222" s="12" t="n">
        <v>218</v>
      </c>
      <c r="B222" s="12" t="s">
        <v>283</v>
      </c>
      <c r="C222" s="20" t="n">
        <v>0.296</v>
      </c>
      <c r="D222" s="12" t="s">
        <v>62</v>
      </c>
      <c r="E222" s="12" t="n">
        <v>3</v>
      </c>
      <c r="F222" s="12"/>
      <c r="H222" s="21" t="n">
        <v>1</v>
      </c>
      <c r="I222" s="21" t="n">
        <v>1</v>
      </c>
      <c r="J222" s="21" t="n">
        <v>1</v>
      </c>
      <c r="K222" s="21" t="n">
        <v>1</v>
      </c>
      <c r="L222" s="13" t="n">
        <f aca="false">IF(H222=1,Въвеждане!$B$17/SUM($H$5:$H$261),0)</f>
        <v>88.7096774193548</v>
      </c>
      <c r="M222" s="13" t="n">
        <f aca="false">IF(I222=1,Въвеждане!$B$8/SUM($I$5:$I$261),0)</f>
        <v>3.2520325203252</v>
      </c>
      <c r="N222" s="13" t="n">
        <f aca="false">IF(J222=1,Въвеждане!$B$9*C222/SUMPRODUCT($C$5:$C$261,$J$5:$J$261),0)</f>
        <v>19.8371477398385</v>
      </c>
      <c r="O222" s="13" t="n">
        <f aca="false">IF(K222=1,Въвеждане!$B$10*C222/SUMPRODUCT($C$5:$C$261,$K$5:$K$261),0)</f>
        <v>67.422555173112</v>
      </c>
      <c r="P222" s="16" t="n">
        <f aca="false">SUM(L222:O222)</f>
        <v>179.22141285263</v>
      </c>
    </row>
    <row r="223" customFormat="false" ht="15" hidden="false" customHeight="false" outlineLevel="0" collapsed="false">
      <c r="A223" s="12" t="n">
        <v>219</v>
      </c>
      <c r="B223" s="12" t="s">
        <v>284</v>
      </c>
      <c r="C223" s="20" t="n">
        <v>0.624</v>
      </c>
      <c r="D223" s="12" t="s">
        <v>62</v>
      </c>
      <c r="E223" s="12" t="n">
        <v>4</v>
      </c>
      <c r="F223" s="12"/>
      <c r="H223" s="21" t="n">
        <v>1</v>
      </c>
      <c r="I223" s="21" t="n">
        <v>1</v>
      </c>
      <c r="J223" s="21" t="n">
        <v>1</v>
      </c>
      <c r="K223" s="21" t="n">
        <v>0</v>
      </c>
      <c r="L223" s="13" t="n">
        <f aca="false">IF(H223=1,Въвеждане!$B$17/SUM($H$5:$H$261),0)</f>
        <v>88.7096774193548</v>
      </c>
      <c r="M223" s="13" t="n">
        <f aca="false">IF(I223=1,Въвеждане!$B$8/SUM($I$5:$I$261),0)</f>
        <v>3.2520325203252</v>
      </c>
      <c r="N223" s="13" t="n">
        <f aca="false">IF(J223=1,Въвеждане!$B$9*C223/SUMPRODUCT($C$5:$C$261,$J$5:$J$261),0)</f>
        <v>41.818851992092</v>
      </c>
      <c r="O223" s="13" t="n">
        <f aca="false">IF(K223=1,Въвеждане!$B$10*C223/SUMPRODUCT($C$5:$C$261,$K$5:$K$261),0)</f>
        <v>0</v>
      </c>
      <c r="P223" s="16" t="n">
        <f aca="false">SUM(L223:O223)</f>
        <v>133.780561931772</v>
      </c>
    </row>
    <row r="224" customFormat="false" ht="15" hidden="false" customHeight="false" outlineLevel="0" collapsed="false">
      <c r="A224" s="12" t="n">
        <v>220</v>
      </c>
      <c r="B224" s="12" t="s">
        <v>285</v>
      </c>
      <c r="C224" s="20" t="n">
        <v>0.663</v>
      </c>
      <c r="D224" s="12" t="s">
        <v>62</v>
      </c>
      <c r="E224" s="12" t="n">
        <v>4</v>
      </c>
      <c r="F224" s="12"/>
      <c r="H224" s="21" t="n">
        <v>1</v>
      </c>
      <c r="I224" s="21" t="n">
        <v>1</v>
      </c>
      <c r="J224" s="21" t="n">
        <v>1</v>
      </c>
      <c r="K224" s="21" t="n">
        <v>0</v>
      </c>
      <c r="L224" s="13" t="n">
        <f aca="false">IF(H224=1,Въвеждане!$B$17/SUM($H$5:$H$261),0)</f>
        <v>88.7096774193548</v>
      </c>
      <c r="M224" s="13" t="n">
        <f aca="false">IF(I224=1,Въвеждане!$B$8/SUM($I$5:$I$261),0)</f>
        <v>3.2520325203252</v>
      </c>
      <c r="N224" s="13" t="n">
        <f aca="false">IF(J224=1,Въвеждане!$B$9*C224/SUMPRODUCT($C$5:$C$261,$J$5:$J$261),0)</f>
        <v>44.4325302415977</v>
      </c>
      <c r="O224" s="13" t="n">
        <f aca="false">IF(K224=1,Въвеждане!$B$10*C224/SUMPRODUCT($C$5:$C$261,$K$5:$K$261),0)</f>
        <v>0</v>
      </c>
      <c r="P224" s="16" t="n">
        <f aca="false">SUM(L224:O224)</f>
        <v>136.394240181278</v>
      </c>
    </row>
    <row r="225" customFormat="false" ht="15" hidden="false" customHeight="false" outlineLevel="0" collapsed="false">
      <c r="A225" s="12" t="n">
        <v>221</v>
      </c>
      <c r="B225" s="12" t="s">
        <v>286</v>
      </c>
      <c r="C225" s="20" t="n">
        <v>0.247</v>
      </c>
      <c r="D225" s="12" t="s">
        <v>62</v>
      </c>
      <c r="E225" s="12" t="n">
        <v>4</v>
      </c>
      <c r="F225" s="12"/>
      <c r="H225" s="21" t="n">
        <v>1</v>
      </c>
      <c r="I225" s="21" t="n">
        <v>1</v>
      </c>
      <c r="J225" s="21" t="n">
        <v>1</v>
      </c>
      <c r="K225" s="21" t="n">
        <v>0</v>
      </c>
      <c r="L225" s="13" t="n">
        <f aca="false">IF(H225=1,Въвеждане!$B$17/SUM($H$5:$H$261),0)</f>
        <v>88.7096774193548</v>
      </c>
      <c r="M225" s="13" t="n">
        <f aca="false">IF(I225=1,Въвеждане!$B$8/SUM($I$5:$I$261),0)</f>
        <v>3.2520325203252</v>
      </c>
      <c r="N225" s="13" t="n">
        <f aca="false">IF(J225=1,Въвеждане!$B$9*C225/SUMPRODUCT($C$5:$C$261,$J$5:$J$261),0)</f>
        <v>16.5532955802031</v>
      </c>
      <c r="O225" s="13" t="n">
        <f aca="false">IF(K225=1,Въвеждане!$B$10*C225/SUMPRODUCT($C$5:$C$261,$K$5:$K$261),0)</f>
        <v>0</v>
      </c>
      <c r="P225" s="16" t="n">
        <f aca="false">SUM(L225:O225)</f>
        <v>108.515005519883</v>
      </c>
    </row>
    <row r="226" customFormat="false" ht="15" hidden="false" customHeight="false" outlineLevel="0" collapsed="false">
      <c r="A226" s="12" t="n">
        <v>222</v>
      </c>
      <c r="B226" s="12" t="s">
        <v>287</v>
      </c>
      <c r="C226" s="20" t="n">
        <v>0.249</v>
      </c>
      <c r="D226" s="12" t="s">
        <v>62</v>
      </c>
      <c r="E226" s="12" t="n">
        <v>4</v>
      </c>
      <c r="F226" s="12"/>
      <c r="H226" s="21" t="n">
        <v>1</v>
      </c>
      <c r="I226" s="21" t="n">
        <v>1</v>
      </c>
      <c r="J226" s="21" t="n">
        <v>1</v>
      </c>
      <c r="K226" s="21" t="n">
        <v>0</v>
      </c>
      <c r="L226" s="13" t="n">
        <f aca="false">IF(H226=1,Въвеждане!$B$17/SUM($H$5:$H$261),0)</f>
        <v>88.7096774193548</v>
      </c>
      <c r="M226" s="13" t="n">
        <f aca="false">IF(I226=1,Въвеждане!$B$8/SUM($I$5:$I$261),0)</f>
        <v>3.2520325203252</v>
      </c>
      <c r="N226" s="13" t="n">
        <f aca="false">IF(J226=1,Въвеждане!$B$9*C226/SUMPRODUCT($C$5:$C$261,$J$5:$J$261),0)</f>
        <v>16.687330362229</v>
      </c>
      <c r="O226" s="13" t="n">
        <f aca="false">IF(K226=1,Въвеждане!$B$10*C226/SUMPRODUCT($C$5:$C$261,$K$5:$K$261),0)</f>
        <v>0</v>
      </c>
      <c r="P226" s="16" t="n">
        <f aca="false">SUM(L226:O226)</f>
        <v>108.649040301909</v>
      </c>
    </row>
    <row r="227" customFormat="false" ht="15" hidden="false" customHeight="false" outlineLevel="0" collapsed="false">
      <c r="A227" s="12" t="n">
        <v>223</v>
      </c>
      <c r="B227" s="12" t="s">
        <v>288</v>
      </c>
      <c r="C227" s="20" t="n">
        <v>0.252</v>
      </c>
      <c r="D227" s="12" t="s">
        <v>62</v>
      </c>
      <c r="E227" s="12" t="n">
        <v>4</v>
      </c>
      <c r="F227" s="12"/>
      <c r="H227" s="21" t="n">
        <v>1</v>
      </c>
      <c r="I227" s="21" t="n">
        <v>1</v>
      </c>
      <c r="J227" s="21" t="n">
        <v>1</v>
      </c>
      <c r="K227" s="21" t="n">
        <v>0</v>
      </c>
      <c r="L227" s="13" t="n">
        <f aca="false">IF(H227=1,Въвеждане!$B$17/SUM($H$5:$H$261),0)</f>
        <v>88.7096774193548</v>
      </c>
      <c r="M227" s="13" t="n">
        <f aca="false">IF(I227=1,Въвеждане!$B$8/SUM($I$5:$I$261),0)</f>
        <v>3.2520325203252</v>
      </c>
      <c r="N227" s="13" t="n">
        <f aca="false">IF(J227=1,Въвеждане!$B$9*C227/SUMPRODUCT($C$5:$C$261,$J$5:$J$261),0)</f>
        <v>16.8883825352679</v>
      </c>
      <c r="O227" s="13" t="n">
        <f aca="false">IF(K227=1,Въвеждане!$B$10*C227/SUMPRODUCT($C$5:$C$261,$K$5:$K$261),0)</f>
        <v>0</v>
      </c>
      <c r="P227" s="16" t="n">
        <f aca="false">SUM(L227:O227)</f>
        <v>108.850092474948</v>
      </c>
    </row>
    <row r="228" customFormat="false" ht="15" hidden="false" customHeight="false" outlineLevel="0" collapsed="false">
      <c r="A228" s="12" t="n">
        <v>224</v>
      </c>
      <c r="B228" s="12" t="s">
        <v>289</v>
      </c>
      <c r="C228" s="20" t="n">
        <v>0.13</v>
      </c>
      <c r="D228" s="12" t="s">
        <v>62</v>
      </c>
      <c r="E228" s="12" t="n">
        <v>4</v>
      </c>
      <c r="F228" s="12"/>
      <c r="H228" s="21" t="n">
        <v>1</v>
      </c>
      <c r="I228" s="21" t="n">
        <v>1</v>
      </c>
      <c r="J228" s="21" t="n">
        <v>1</v>
      </c>
      <c r="K228" s="21" t="n">
        <v>0</v>
      </c>
      <c r="L228" s="13" t="n">
        <f aca="false">IF(H228=1,Въвеждане!$B$17/SUM($H$5:$H$261),0)</f>
        <v>88.7096774193548</v>
      </c>
      <c r="M228" s="13" t="n">
        <f aca="false">IF(I228=1,Въвеждане!$B$8/SUM($I$5:$I$261),0)</f>
        <v>3.2520325203252</v>
      </c>
      <c r="N228" s="13" t="n">
        <f aca="false">IF(J228=1,Въвеждане!$B$9*C228/SUMPRODUCT($C$5:$C$261,$J$5:$J$261),0)</f>
        <v>8.71226083168582</v>
      </c>
      <c r="O228" s="13" t="n">
        <f aca="false">IF(K228=1,Въвеждане!$B$10*C228/SUMPRODUCT($C$5:$C$261,$K$5:$K$261),0)</f>
        <v>0</v>
      </c>
      <c r="P228" s="16" t="n">
        <f aca="false">SUM(L228:O228)</f>
        <v>100.673970771366</v>
      </c>
    </row>
    <row r="229" customFormat="false" ht="15" hidden="false" customHeight="false" outlineLevel="0" collapsed="false">
      <c r="A229" s="12" t="n">
        <v>225</v>
      </c>
      <c r="B229" s="12" t="s">
        <v>290</v>
      </c>
      <c r="C229" s="20" t="n">
        <v>0.795</v>
      </c>
      <c r="D229" s="12" t="s">
        <v>62</v>
      </c>
      <c r="E229" s="12" t="n">
        <v>4</v>
      </c>
      <c r="F229" s="12"/>
      <c r="H229" s="21" t="n">
        <v>1</v>
      </c>
      <c r="I229" s="21" t="n">
        <v>1</v>
      </c>
      <c r="J229" s="21" t="n">
        <v>1</v>
      </c>
      <c r="K229" s="21" t="n">
        <v>0</v>
      </c>
      <c r="L229" s="13" t="n">
        <f aca="false">IF(H229=1,Въвеждане!$B$17/SUM($H$5:$H$261),0)</f>
        <v>88.7096774193548</v>
      </c>
      <c r="M229" s="13" t="n">
        <f aca="false">IF(I229=1,Въвеждане!$B$8/SUM($I$5:$I$261),0)</f>
        <v>3.2520325203252</v>
      </c>
      <c r="N229" s="13" t="n">
        <f aca="false">IF(J229=1,Въвеждане!$B$9*C229/SUMPRODUCT($C$5:$C$261,$J$5:$J$261),0)</f>
        <v>53.2788258553095</v>
      </c>
      <c r="O229" s="13" t="n">
        <f aca="false">IF(K229=1,Въвеждане!$B$10*C229/SUMPRODUCT($C$5:$C$261,$K$5:$K$261),0)</f>
        <v>0</v>
      </c>
      <c r="P229" s="16" t="n">
        <f aca="false">SUM(L229:O229)</f>
        <v>145.240535794989</v>
      </c>
    </row>
    <row r="230" customFormat="false" ht="15" hidden="false" customHeight="false" outlineLevel="0" collapsed="false">
      <c r="A230" s="12" t="n">
        <v>226</v>
      </c>
      <c r="B230" s="12" t="s">
        <v>291</v>
      </c>
      <c r="C230" s="20" t="n">
        <v>0.527</v>
      </c>
      <c r="D230" s="12" t="s">
        <v>62</v>
      </c>
      <c r="E230" s="12" t="n">
        <v>4</v>
      </c>
      <c r="F230" s="12"/>
      <c r="H230" s="21" t="n">
        <v>1</v>
      </c>
      <c r="I230" s="21" t="n">
        <v>1</v>
      </c>
      <c r="J230" s="21" t="n">
        <v>1</v>
      </c>
      <c r="K230" s="21" t="n">
        <v>0</v>
      </c>
      <c r="L230" s="13" t="n">
        <f aca="false">IF(H230=1,Въвеждане!$B$17/SUM($H$5:$H$261),0)</f>
        <v>88.7096774193548</v>
      </c>
      <c r="M230" s="13" t="n">
        <f aca="false">IF(I230=1,Въвеждане!$B$8/SUM($I$5:$I$261),0)</f>
        <v>3.2520325203252</v>
      </c>
      <c r="N230" s="13" t="n">
        <f aca="false">IF(J230=1,Въвеждане!$B$9*C230/SUMPRODUCT($C$5:$C$261,$J$5:$J$261),0)</f>
        <v>35.3181650638341</v>
      </c>
      <c r="O230" s="13" t="n">
        <f aca="false">IF(K230=1,Въвеждане!$B$10*C230/SUMPRODUCT($C$5:$C$261,$K$5:$K$261),0)</f>
        <v>0</v>
      </c>
      <c r="P230" s="16" t="n">
        <f aca="false">SUM(L230:O230)</f>
        <v>127.279875003514</v>
      </c>
    </row>
    <row r="231" customFormat="false" ht="15" hidden="false" customHeight="false" outlineLevel="0" collapsed="false">
      <c r="A231" s="12" t="n">
        <v>227</v>
      </c>
      <c r="B231" s="12" t="s">
        <v>292</v>
      </c>
      <c r="C231" s="20" t="n">
        <v>0.649</v>
      </c>
      <c r="D231" s="12" t="s">
        <v>62</v>
      </c>
      <c r="E231" s="12" t="n">
        <v>4</v>
      </c>
      <c r="F231" s="12"/>
      <c r="H231" s="21" t="n">
        <v>1</v>
      </c>
      <c r="I231" s="21" t="n">
        <v>1</v>
      </c>
      <c r="J231" s="21" t="n">
        <v>1</v>
      </c>
      <c r="K231" s="21" t="n">
        <v>0</v>
      </c>
      <c r="L231" s="13" t="n">
        <f aca="false">IF(H231=1,Въвеждане!$B$17/SUM($H$5:$H$261),0)</f>
        <v>88.7096774193548</v>
      </c>
      <c r="M231" s="13" t="n">
        <f aca="false">IF(I231=1,Въвеждане!$B$8/SUM($I$5:$I$261),0)</f>
        <v>3.2520325203252</v>
      </c>
      <c r="N231" s="13" t="n">
        <f aca="false">IF(J231=1,Въвеждане!$B$9*C231/SUMPRODUCT($C$5:$C$261,$J$5:$J$261),0)</f>
        <v>43.4942867674162</v>
      </c>
      <c r="O231" s="13" t="n">
        <f aca="false">IF(K231=1,Въвеждане!$B$10*C231/SUMPRODUCT($C$5:$C$261,$K$5:$K$261),0)</f>
        <v>0</v>
      </c>
      <c r="P231" s="16" t="n">
        <f aca="false">SUM(L231:O231)</f>
        <v>135.455996707096</v>
      </c>
    </row>
    <row r="232" customFormat="false" ht="15" hidden="false" customHeight="false" outlineLevel="0" collapsed="false">
      <c r="A232" s="12" t="n">
        <v>228</v>
      </c>
      <c r="B232" s="12" t="s">
        <v>293</v>
      </c>
      <c r="C232" s="20" t="n">
        <v>0.531</v>
      </c>
      <c r="D232" s="12" t="s">
        <v>62</v>
      </c>
      <c r="E232" s="12" t="n">
        <v>4</v>
      </c>
      <c r="F232" s="12"/>
      <c r="H232" s="21" t="n">
        <v>1</v>
      </c>
      <c r="I232" s="21" t="n">
        <v>1</v>
      </c>
      <c r="J232" s="21" t="n">
        <v>1</v>
      </c>
      <c r="K232" s="21" t="n">
        <v>0</v>
      </c>
      <c r="L232" s="13" t="n">
        <f aca="false">IF(H232=1,Въвеждане!$B$17/SUM($H$5:$H$261),0)</f>
        <v>88.7096774193548</v>
      </c>
      <c r="M232" s="13" t="n">
        <f aca="false">IF(I232=1,Въвеждане!$B$8/SUM($I$5:$I$261),0)</f>
        <v>3.2520325203252</v>
      </c>
      <c r="N232" s="13" t="n">
        <f aca="false">IF(J232=1,Въвеждане!$B$9*C232/SUMPRODUCT($C$5:$C$261,$J$5:$J$261),0)</f>
        <v>35.5862346278859</v>
      </c>
      <c r="O232" s="13" t="n">
        <f aca="false">IF(K232=1,Въвеждане!$B$10*C232/SUMPRODUCT($C$5:$C$261,$K$5:$K$261),0)</f>
        <v>0</v>
      </c>
      <c r="P232" s="16" t="n">
        <f aca="false">SUM(L232:O232)</f>
        <v>127.547944567566</v>
      </c>
    </row>
    <row r="233" customFormat="false" ht="15" hidden="false" customHeight="false" outlineLevel="0" collapsed="false">
      <c r="A233" s="12" t="n">
        <v>229</v>
      </c>
      <c r="B233" s="12" t="s">
        <v>294</v>
      </c>
      <c r="C233" s="20" t="n">
        <v>0.256</v>
      </c>
      <c r="D233" s="12" t="s">
        <v>62</v>
      </c>
      <c r="E233" s="12" t="n">
        <v>4</v>
      </c>
      <c r="F233" s="12"/>
      <c r="H233" s="21" t="n">
        <v>1</v>
      </c>
      <c r="I233" s="21" t="n">
        <v>1</v>
      </c>
      <c r="J233" s="21" t="n">
        <v>1</v>
      </c>
      <c r="K233" s="21" t="n">
        <v>0</v>
      </c>
      <c r="L233" s="13" t="n">
        <f aca="false">IF(H233=1,Въвеждане!$B$17/SUM($H$5:$H$261),0)</f>
        <v>88.7096774193548</v>
      </c>
      <c r="M233" s="13" t="n">
        <f aca="false">IF(I233=1,Въвеждане!$B$8/SUM($I$5:$I$261),0)</f>
        <v>3.2520325203252</v>
      </c>
      <c r="N233" s="13" t="n">
        <f aca="false">IF(J233=1,Въвеждане!$B$9*C233/SUMPRODUCT($C$5:$C$261,$J$5:$J$261),0)</f>
        <v>17.1564520993198</v>
      </c>
      <c r="O233" s="13" t="n">
        <f aca="false">IF(K233=1,Въвеждане!$B$10*C233/SUMPRODUCT($C$5:$C$261,$K$5:$K$261),0)</f>
        <v>0</v>
      </c>
      <c r="P233" s="16" t="n">
        <f aca="false">SUM(L233:O233)</f>
        <v>109.118162039</v>
      </c>
    </row>
    <row r="234" customFormat="false" ht="15" hidden="false" customHeight="false" outlineLevel="0" collapsed="false">
      <c r="A234" s="12" t="n">
        <v>230</v>
      </c>
      <c r="B234" s="12" t="s">
        <v>295</v>
      </c>
      <c r="C234" s="20" t="n">
        <v>0.247</v>
      </c>
      <c r="D234" s="12" t="s">
        <v>62</v>
      </c>
      <c r="E234" s="12" t="n">
        <v>4</v>
      </c>
      <c r="F234" s="12"/>
      <c r="H234" s="21" t="n">
        <v>1</v>
      </c>
      <c r="I234" s="21" t="n">
        <v>1</v>
      </c>
      <c r="J234" s="21" t="n">
        <v>1</v>
      </c>
      <c r="K234" s="21" t="n">
        <v>0</v>
      </c>
      <c r="L234" s="13" t="n">
        <f aca="false">IF(H234=1,Въвеждане!$B$17/SUM($H$5:$H$261),0)</f>
        <v>88.7096774193548</v>
      </c>
      <c r="M234" s="13" t="n">
        <f aca="false">IF(I234=1,Въвеждане!$B$8/SUM($I$5:$I$261),0)</f>
        <v>3.2520325203252</v>
      </c>
      <c r="N234" s="13" t="n">
        <f aca="false">IF(J234=1,Въвеждане!$B$9*C234/SUMPRODUCT($C$5:$C$261,$J$5:$J$261),0)</f>
        <v>16.5532955802031</v>
      </c>
      <c r="O234" s="13" t="n">
        <f aca="false">IF(K234=1,Въвеждане!$B$10*C234/SUMPRODUCT($C$5:$C$261,$K$5:$K$261),0)</f>
        <v>0</v>
      </c>
      <c r="P234" s="16" t="n">
        <f aca="false">SUM(L234:O234)</f>
        <v>108.515005519883</v>
      </c>
    </row>
    <row r="235" customFormat="false" ht="15" hidden="false" customHeight="false" outlineLevel="0" collapsed="false">
      <c r="A235" s="12" t="n">
        <v>231</v>
      </c>
      <c r="B235" s="12" t="s">
        <v>296</v>
      </c>
      <c r="C235" s="20" t="n">
        <v>0.279</v>
      </c>
      <c r="D235" s="12" t="s">
        <v>62</v>
      </c>
      <c r="E235" s="12" t="n">
        <v>4</v>
      </c>
      <c r="F235" s="12"/>
      <c r="H235" s="21" t="n">
        <v>1</v>
      </c>
      <c r="I235" s="21" t="n">
        <v>1</v>
      </c>
      <c r="J235" s="21" t="n">
        <v>1</v>
      </c>
      <c r="K235" s="21" t="n">
        <v>0</v>
      </c>
      <c r="L235" s="13" t="n">
        <f aca="false">IF(H235=1,Въвеждане!$B$17/SUM($H$5:$H$261),0)</f>
        <v>88.7096774193548</v>
      </c>
      <c r="M235" s="13" t="n">
        <f aca="false">IF(I235=1,Въвеждане!$B$8/SUM($I$5:$I$261),0)</f>
        <v>3.2520325203252</v>
      </c>
      <c r="N235" s="13" t="n">
        <f aca="false">IF(J235=1,Въвеждане!$B$9*C235/SUMPRODUCT($C$5:$C$261,$J$5:$J$261),0)</f>
        <v>18.697852092618</v>
      </c>
      <c r="O235" s="13" t="n">
        <f aca="false">IF(K235=1,Въвеждане!$B$10*C235/SUMPRODUCT($C$5:$C$261,$K$5:$K$261),0)</f>
        <v>0</v>
      </c>
      <c r="P235" s="16" t="n">
        <f aca="false">SUM(L235:O235)</f>
        <v>110.659562032298</v>
      </c>
    </row>
    <row r="236" customFormat="false" ht="15" hidden="false" customHeight="false" outlineLevel="0" collapsed="false">
      <c r="A236" s="12" t="n">
        <v>232</v>
      </c>
      <c r="B236" s="12" t="s">
        <v>297</v>
      </c>
      <c r="C236" s="20" t="n">
        <v>0.177</v>
      </c>
      <c r="D236" s="12" t="s">
        <v>62</v>
      </c>
      <c r="E236" s="12" t="n">
        <v>4</v>
      </c>
      <c r="F236" s="12"/>
      <c r="H236" s="21" t="n">
        <v>1</v>
      </c>
      <c r="I236" s="21" t="n">
        <v>1</v>
      </c>
      <c r="J236" s="21" t="n">
        <v>1</v>
      </c>
      <c r="K236" s="21" t="n">
        <v>0</v>
      </c>
      <c r="L236" s="13" t="n">
        <f aca="false">IF(H236=1,Въвеждане!$B$17/SUM($H$5:$H$261),0)</f>
        <v>88.7096774193548</v>
      </c>
      <c r="M236" s="13" t="n">
        <f aca="false">IF(I236=1,Въвеждане!$B$8/SUM($I$5:$I$261),0)</f>
        <v>3.2520325203252</v>
      </c>
      <c r="N236" s="13" t="n">
        <f aca="false">IF(J236=1,Въвеждане!$B$9*C236/SUMPRODUCT($C$5:$C$261,$J$5:$J$261),0)</f>
        <v>11.8620782092953</v>
      </c>
      <c r="O236" s="13" t="n">
        <f aca="false">IF(K236=1,Въвеждане!$B$10*C236/SUMPRODUCT($C$5:$C$261,$K$5:$K$261),0)</f>
        <v>0</v>
      </c>
      <c r="P236" s="16" t="n">
        <f aca="false">SUM(L236:O236)</f>
        <v>103.823788148975</v>
      </c>
    </row>
    <row r="237" customFormat="false" ht="15" hidden="false" customHeight="false" outlineLevel="0" collapsed="false">
      <c r="A237" s="12" t="n">
        <v>233</v>
      </c>
      <c r="B237" s="12" t="s">
        <v>298</v>
      </c>
      <c r="C237" s="20" t="n">
        <v>0.168</v>
      </c>
      <c r="D237" s="12" t="s">
        <v>62</v>
      </c>
      <c r="E237" s="12" t="n">
        <v>4</v>
      </c>
      <c r="F237" s="12"/>
      <c r="H237" s="21" t="n">
        <v>1</v>
      </c>
      <c r="I237" s="21" t="n">
        <v>1</v>
      </c>
      <c r="J237" s="21" t="n">
        <v>1</v>
      </c>
      <c r="K237" s="21" t="n">
        <v>0</v>
      </c>
      <c r="L237" s="13" t="n">
        <f aca="false">IF(H237=1,Въвеждане!$B$17/SUM($H$5:$H$261),0)</f>
        <v>88.7096774193548</v>
      </c>
      <c r="M237" s="13" t="n">
        <f aca="false">IF(I237=1,Въвеждане!$B$8/SUM($I$5:$I$261),0)</f>
        <v>3.2520325203252</v>
      </c>
      <c r="N237" s="13" t="n">
        <f aca="false">IF(J237=1,Въвеждане!$B$9*C237/SUMPRODUCT($C$5:$C$261,$J$5:$J$261),0)</f>
        <v>11.2589216901786</v>
      </c>
      <c r="O237" s="13" t="n">
        <f aca="false">IF(K237=1,Въвеждане!$B$10*C237/SUMPRODUCT($C$5:$C$261,$K$5:$K$261),0)</f>
        <v>0</v>
      </c>
      <c r="P237" s="16" t="n">
        <f aca="false">SUM(L237:O237)</f>
        <v>103.220631629859</v>
      </c>
    </row>
    <row r="238" customFormat="false" ht="15" hidden="false" customHeight="false" outlineLevel="0" collapsed="false">
      <c r="A238" s="12" t="n">
        <v>234</v>
      </c>
      <c r="B238" s="12" t="s">
        <v>299</v>
      </c>
      <c r="C238" s="20" t="n">
        <v>0.112</v>
      </c>
      <c r="D238" s="12" t="s">
        <v>62</v>
      </c>
      <c r="E238" s="12" t="n">
        <v>4</v>
      </c>
      <c r="F238" s="12"/>
      <c r="H238" s="21" t="n">
        <v>1</v>
      </c>
      <c r="I238" s="21" t="n">
        <v>1</v>
      </c>
      <c r="J238" s="21" t="n">
        <v>1</v>
      </c>
      <c r="K238" s="21" t="n">
        <v>0</v>
      </c>
      <c r="L238" s="13" t="n">
        <f aca="false">IF(H238=1,Въвеждане!$B$17/SUM($H$5:$H$261),0)</f>
        <v>88.7096774193548</v>
      </c>
      <c r="M238" s="13" t="n">
        <f aca="false">IF(I238=1,Въвеждане!$B$8/SUM($I$5:$I$261),0)</f>
        <v>3.2520325203252</v>
      </c>
      <c r="N238" s="13" t="n">
        <f aca="false">IF(J238=1,Въвеждане!$B$9*C238/SUMPRODUCT($C$5:$C$261,$J$5:$J$261),0)</f>
        <v>7.5059477934524</v>
      </c>
      <c r="O238" s="13" t="n">
        <f aca="false">IF(K238=1,Въвеждане!$B$10*C238/SUMPRODUCT($C$5:$C$261,$K$5:$K$261),0)</f>
        <v>0</v>
      </c>
      <c r="P238" s="16" t="n">
        <f aca="false">SUM(L238:O238)</f>
        <v>99.4676577331324</v>
      </c>
    </row>
    <row r="239" customFormat="false" ht="15" hidden="false" customHeight="false" outlineLevel="0" collapsed="false">
      <c r="A239" s="12" t="n">
        <v>235</v>
      </c>
      <c r="B239" s="12" t="s">
        <v>300</v>
      </c>
      <c r="C239" s="20" t="n">
        <v>0.11</v>
      </c>
      <c r="D239" s="12" t="s">
        <v>62</v>
      </c>
      <c r="E239" s="12" t="n">
        <v>4</v>
      </c>
      <c r="F239" s="12"/>
      <c r="H239" s="21" t="n">
        <v>1</v>
      </c>
      <c r="I239" s="21" t="n">
        <v>1</v>
      </c>
      <c r="J239" s="21" t="n">
        <v>1</v>
      </c>
      <c r="K239" s="21" t="n">
        <v>0</v>
      </c>
      <c r="L239" s="13" t="n">
        <f aca="false">IF(H239=1,Въвеждане!$B$17/SUM($H$5:$H$261),0)</f>
        <v>88.7096774193548</v>
      </c>
      <c r="M239" s="13" t="n">
        <f aca="false">IF(I239=1,Въвеждане!$B$8/SUM($I$5:$I$261),0)</f>
        <v>3.2520325203252</v>
      </c>
      <c r="N239" s="13" t="n">
        <f aca="false">IF(J239=1,Въвеждане!$B$9*C239/SUMPRODUCT($C$5:$C$261,$J$5:$J$261),0)</f>
        <v>7.37191301142647</v>
      </c>
      <c r="O239" s="13" t="n">
        <f aca="false">IF(K239=1,Въвеждане!$B$10*C239/SUMPRODUCT($C$5:$C$261,$K$5:$K$261),0)</f>
        <v>0</v>
      </c>
      <c r="P239" s="16" t="n">
        <f aca="false">SUM(L239:O239)</f>
        <v>99.3336229511065</v>
      </c>
    </row>
    <row r="240" customFormat="false" ht="15" hidden="false" customHeight="false" outlineLevel="0" collapsed="false">
      <c r="A240" s="12" t="n">
        <v>236</v>
      </c>
      <c r="B240" s="12" t="s">
        <v>301</v>
      </c>
      <c r="C240" s="20" t="n">
        <v>0.17</v>
      </c>
      <c r="D240" s="12" t="s">
        <v>62</v>
      </c>
      <c r="E240" s="12" t="n">
        <v>4</v>
      </c>
      <c r="F240" s="12"/>
      <c r="H240" s="21" t="n">
        <v>1</v>
      </c>
      <c r="I240" s="21" t="n">
        <v>1</v>
      </c>
      <c r="J240" s="21" t="n">
        <v>1</v>
      </c>
      <c r="K240" s="21" t="n">
        <v>0</v>
      </c>
      <c r="L240" s="13" t="n">
        <f aca="false">IF(H240=1,Въвеждане!$B$17/SUM($H$5:$H$261),0)</f>
        <v>88.7096774193548</v>
      </c>
      <c r="M240" s="13" t="n">
        <f aca="false">IF(I240=1,Въвеждане!$B$8/SUM($I$5:$I$261),0)</f>
        <v>3.2520325203252</v>
      </c>
      <c r="N240" s="13" t="n">
        <f aca="false">IF(J240=1,Въвеждане!$B$9*C240/SUMPRODUCT($C$5:$C$261,$J$5:$J$261),0)</f>
        <v>11.3929564722045</v>
      </c>
      <c r="O240" s="13" t="n">
        <f aca="false">IF(K240=1,Въвеждане!$B$10*C240/SUMPRODUCT($C$5:$C$261,$K$5:$K$261),0)</f>
        <v>0</v>
      </c>
      <c r="P240" s="16" t="n">
        <f aca="false">SUM(L240:O240)</f>
        <v>103.354666411885</v>
      </c>
    </row>
    <row r="241" customFormat="false" ht="15" hidden="false" customHeight="false" outlineLevel="0" collapsed="false">
      <c r="A241" s="12" t="n">
        <v>237</v>
      </c>
      <c r="B241" s="12" t="s">
        <v>302</v>
      </c>
      <c r="C241" s="20" t="n">
        <v>0.17</v>
      </c>
      <c r="D241" s="12" t="s">
        <v>62</v>
      </c>
      <c r="E241" s="12" t="n">
        <v>4</v>
      </c>
      <c r="F241" s="12"/>
      <c r="H241" s="21" t="n">
        <v>1</v>
      </c>
      <c r="I241" s="21" t="n">
        <v>1</v>
      </c>
      <c r="J241" s="21" t="n">
        <v>1</v>
      </c>
      <c r="K241" s="21" t="n">
        <v>0</v>
      </c>
      <c r="L241" s="13" t="n">
        <f aca="false">IF(H241=1,Въвеждане!$B$17/SUM($H$5:$H$261),0)</f>
        <v>88.7096774193548</v>
      </c>
      <c r="M241" s="13" t="n">
        <f aca="false">IF(I241=1,Въвеждане!$B$8/SUM($I$5:$I$261),0)</f>
        <v>3.2520325203252</v>
      </c>
      <c r="N241" s="13" t="n">
        <f aca="false">IF(J241=1,Въвеждане!$B$9*C241/SUMPRODUCT($C$5:$C$261,$J$5:$J$261),0)</f>
        <v>11.3929564722045</v>
      </c>
      <c r="O241" s="13" t="n">
        <f aca="false">IF(K241=1,Въвеждане!$B$10*C241/SUMPRODUCT($C$5:$C$261,$K$5:$K$261),0)</f>
        <v>0</v>
      </c>
      <c r="P241" s="16" t="n">
        <f aca="false">SUM(L241:O241)</f>
        <v>103.354666411885</v>
      </c>
    </row>
    <row r="242" customFormat="false" ht="15" hidden="false" customHeight="false" outlineLevel="0" collapsed="false">
      <c r="A242" s="12" t="n">
        <v>238</v>
      </c>
      <c r="B242" s="12" t="s">
        <v>303</v>
      </c>
      <c r="C242" s="20" t="n">
        <v>0.219</v>
      </c>
      <c r="D242" s="12" t="s">
        <v>62</v>
      </c>
      <c r="E242" s="12" t="n">
        <v>4</v>
      </c>
      <c r="F242" s="12"/>
      <c r="H242" s="21" t="n">
        <v>1</v>
      </c>
      <c r="I242" s="21" t="n">
        <v>1</v>
      </c>
      <c r="J242" s="21" t="n">
        <v>1</v>
      </c>
      <c r="K242" s="21" t="n">
        <v>0</v>
      </c>
      <c r="L242" s="13" t="n">
        <f aca="false">IF(H242=1,Въвеждане!$B$17/SUM($H$5:$H$261),0)</f>
        <v>88.7096774193548</v>
      </c>
      <c r="M242" s="13" t="n">
        <f aca="false">IF(I242=1,Въвеждане!$B$8/SUM($I$5:$I$261),0)</f>
        <v>3.2520325203252</v>
      </c>
      <c r="N242" s="13" t="n">
        <f aca="false">IF(J242=1,Въвеждане!$B$9*C242/SUMPRODUCT($C$5:$C$261,$J$5:$J$261),0)</f>
        <v>14.67680863184</v>
      </c>
      <c r="O242" s="13" t="n">
        <f aca="false">IF(K242=1,Въвеждане!$B$10*C242/SUMPRODUCT($C$5:$C$261,$K$5:$K$261),0)</f>
        <v>0</v>
      </c>
      <c r="P242" s="16" t="n">
        <f aca="false">SUM(L242:O242)</f>
        <v>106.63851857152</v>
      </c>
    </row>
    <row r="243" customFormat="false" ht="15" hidden="false" customHeight="false" outlineLevel="0" collapsed="false">
      <c r="A243" s="12" t="n">
        <v>239</v>
      </c>
      <c r="B243" s="12" t="s">
        <v>304</v>
      </c>
      <c r="C243" s="20" t="n">
        <v>0.244</v>
      </c>
      <c r="D243" s="12" t="s">
        <v>62</v>
      </c>
      <c r="E243" s="12" t="n">
        <v>4</v>
      </c>
      <c r="F243" s="12"/>
      <c r="H243" s="21" t="n">
        <v>1</v>
      </c>
      <c r="I243" s="21" t="n">
        <v>1</v>
      </c>
      <c r="J243" s="21" t="n">
        <v>1</v>
      </c>
      <c r="K243" s="21" t="n">
        <v>0</v>
      </c>
      <c r="L243" s="13" t="n">
        <f aca="false">IF(H243=1,Въвеждане!$B$17/SUM($H$5:$H$261),0)</f>
        <v>88.7096774193548</v>
      </c>
      <c r="M243" s="13" t="n">
        <f aca="false">IF(I243=1,Въвеждане!$B$8/SUM($I$5:$I$261),0)</f>
        <v>3.2520325203252</v>
      </c>
      <c r="N243" s="13" t="n">
        <f aca="false">IF(J243=1,Въвеждане!$B$9*C243/SUMPRODUCT($C$5:$C$261,$J$5:$J$261),0)</f>
        <v>16.3522434071642</v>
      </c>
      <c r="O243" s="13" t="n">
        <f aca="false">IF(K243=1,Въвеждане!$B$10*C243/SUMPRODUCT($C$5:$C$261,$K$5:$K$261),0)</f>
        <v>0</v>
      </c>
      <c r="P243" s="16" t="n">
        <f aca="false">SUM(L243:O243)</f>
        <v>108.313953346844</v>
      </c>
    </row>
    <row r="244" customFormat="false" ht="15" hidden="false" customHeight="false" outlineLevel="0" collapsed="false">
      <c r="A244" s="12" t="n">
        <v>240</v>
      </c>
      <c r="B244" s="12" t="s">
        <v>305</v>
      </c>
      <c r="C244" s="20" t="n">
        <v>0.357</v>
      </c>
      <c r="D244" s="12" t="s">
        <v>306</v>
      </c>
      <c r="E244" s="12" t="n">
        <v>4</v>
      </c>
      <c r="F244" s="12"/>
      <c r="H244" s="21" t="n">
        <v>0</v>
      </c>
      <c r="I244" s="21" t="n">
        <v>0</v>
      </c>
      <c r="J244" s="21" t="n">
        <v>0</v>
      </c>
      <c r="K244" s="21" t="n">
        <v>0</v>
      </c>
      <c r="L244" s="13" t="n">
        <f aca="false">IF(H244=1,Въвеждане!$B$17/SUM($H$5:$H$261),0)</f>
        <v>0</v>
      </c>
      <c r="M244" s="13" t="n">
        <f aca="false">IF(I244=1,Въвеждане!$B$8/SUM($I$5:$I$261),0)</f>
        <v>0</v>
      </c>
      <c r="N244" s="13" t="n">
        <f aca="false">IF(J244=1,Въвеждане!$B$9*C244/SUMPRODUCT($C$5:$C$261,$J$5:$J$261),0)</f>
        <v>0</v>
      </c>
      <c r="O244" s="13" t="n">
        <f aca="false">IF(K244=1,Въвеждане!$B$10*C244/SUMPRODUCT($C$5:$C$261,$K$5:$K$261),0)</f>
        <v>0</v>
      </c>
      <c r="P244" s="16" t="n">
        <f aca="false">SUM(L244:O244)</f>
        <v>0</v>
      </c>
    </row>
    <row r="245" customFormat="false" ht="15" hidden="false" customHeight="false" outlineLevel="0" collapsed="false">
      <c r="A245" s="12" t="n">
        <v>241</v>
      </c>
      <c r="B245" s="12" t="s">
        <v>307</v>
      </c>
      <c r="C245" s="20" t="n">
        <v>0.26</v>
      </c>
      <c r="D245" s="12" t="s">
        <v>62</v>
      </c>
      <c r="E245" s="12" t="n">
        <v>4</v>
      </c>
      <c r="F245" s="12"/>
      <c r="H245" s="21" t="n">
        <v>1</v>
      </c>
      <c r="I245" s="21" t="n">
        <v>1</v>
      </c>
      <c r="J245" s="21" t="n">
        <v>1</v>
      </c>
      <c r="K245" s="21" t="n">
        <v>0</v>
      </c>
      <c r="L245" s="13" t="n">
        <f aca="false">IF(H245=1,Въвеждане!$B$17/SUM($H$5:$H$261),0)</f>
        <v>88.7096774193548</v>
      </c>
      <c r="M245" s="13" t="n">
        <f aca="false">IF(I245=1,Въвеждане!$B$8/SUM($I$5:$I$261),0)</f>
        <v>3.2520325203252</v>
      </c>
      <c r="N245" s="13" t="n">
        <f aca="false">IF(J245=1,Въвеждане!$B$9*C245/SUMPRODUCT($C$5:$C$261,$J$5:$J$261),0)</f>
        <v>17.4245216633716</v>
      </c>
      <c r="O245" s="13" t="n">
        <f aca="false">IF(K245=1,Въвеждане!$B$10*C245/SUMPRODUCT($C$5:$C$261,$K$5:$K$261),0)</f>
        <v>0</v>
      </c>
      <c r="P245" s="16" t="n">
        <f aca="false">SUM(L245:O245)</f>
        <v>109.386231603052</v>
      </c>
    </row>
    <row r="246" customFormat="false" ht="15" hidden="false" customHeight="false" outlineLevel="0" collapsed="false">
      <c r="A246" s="12" t="n">
        <v>242</v>
      </c>
      <c r="B246" s="12" t="s">
        <v>308</v>
      </c>
      <c r="C246" s="20" t="n">
        <v>0.256</v>
      </c>
      <c r="D246" s="12" t="s">
        <v>306</v>
      </c>
      <c r="E246" s="12" t="n">
        <v>4</v>
      </c>
      <c r="F246" s="12"/>
      <c r="H246" s="21" t="n">
        <v>0</v>
      </c>
      <c r="I246" s="21" t="n">
        <v>0</v>
      </c>
      <c r="J246" s="21" t="n">
        <v>0</v>
      </c>
      <c r="K246" s="21" t="n">
        <v>0</v>
      </c>
      <c r="L246" s="13" t="n">
        <f aca="false">IF(H246=1,Въвеждане!$B$17/SUM($H$5:$H$261),0)</f>
        <v>0</v>
      </c>
      <c r="M246" s="13" t="n">
        <f aca="false">IF(I246=1,Въвеждане!$B$8/SUM($I$5:$I$261),0)</f>
        <v>0</v>
      </c>
      <c r="N246" s="13" t="n">
        <f aca="false">IF(J246=1,Въвеждане!$B$9*C246/SUMPRODUCT($C$5:$C$261,$J$5:$J$261),0)</f>
        <v>0</v>
      </c>
      <c r="O246" s="13" t="n">
        <f aca="false">IF(K246=1,Въвеждане!$B$10*C246/SUMPRODUCT($C$5:$C$261,$K$5:$K$261),0)</f>
        <v>0</v>
      </c>
      <c r="P246" s="16" t="n">
        <f aca="false">SUM(L246:O246)</f>
        <v>0</v>
      </c>
    </row>
    <row r="247" customFormat="false" ht="15" hidden="false" customHeight="false" outlineLevel="0" collapsed="false">
      <c r="A247" s="12" t="n">
        <v>243</v>
      </c>
      <c r="B247" s="12" t="s">
        <v>309</v>
      </c>
      <c r="C247" s="20" t="n">
        <v>0.155</v>
      </c>
      <c r="D247" s="12" t="s">
        <v>62</v>
      </c>
      <c r="E247" s="12" t="n">
        <v>4</v>
      </c>
      <c r="F247" s="12"/>
      <c r="H247" s="21" t="n">
        <v>1</v>
      </c>
      <c r="I247" s="21" t="n">
        <v>1</v>
      </c>
      <c r="J247" s="21" t="n">
        <v>1</v>
      </c>
      <c r="K247" s="21" t="n">
        <v>0</v>
      </c>
      <c r="L247" s="13" t="n">
        <f aca="false">IF(H247=1,Въвеждане!$B$17/SUM($H$5:$H$261),0)</f>
        <v>88.7096774193548</v>
      </c>
      <c r="M247" s="13" t="n">
        <f aca="false">IF(I247=1,Въвеждане!$B$8/SUM($I$5:$I$261),0)</f>
        <v>3.2520325203252</v>
      </c>
      <c r="N247" s="13" t="n">
        <f aca="false">IF(J247=1,Въвеждане!$B$9*C247/SUMPRODUCT($C$5:$C$261,$J$5:$J$261),0)</f>
        <v>10.38769560701</v>
      </c>
      <c r="O247" s="13" t="n">
        <f aca="false">IF(K247=1,Въвеждане!$B$10*C247/SUMPRODUCT($C$5:$C$261,$K$5:$K$261),0)</f>
        <v>0</v>
      </c>
      <c r="P247" s="16" t="n">
        <f aca="false">SUM(L247:O247)</f>
        <v>102.34940554669</v>
      </c>
    </row>
    <row r="248" customFormat="false" ht="15" hidden="false" customHeight="false" outlineLevel="0" collapsed="false">
      <c r="A248" s="12" t="n">
        <v>244</v>
      </c>
      <c r="B248" s="12" t="s">
        <v>310</v>
      </c>
      <c r="C248" s="20" t="n">
        <v>0.181</v>
      </c>
      <c r="D248" s="12" t="s">
        <v>306</v>
      </c>
      <c r="E248" s="12" t="n">
        <v>4</v>
      </c>
      <c r="F248" s="12"/>
      <c r="H248" s="21" t="n">
        <v>0</v>
      </c>
      <c r="I248" s="21" t="n">
        <v>0</v>
      </c>
      <c r="J248" s="21" t="n">
        <v>0</v>
      </c>
      <c r="K248" s="21" t="n">
        <v>0</v>
      </c>
      <c r="L248" s="13" t="n">
        <f aca="false">IF(H248=1,Въвеждане!$B$17/SUM($H$5:$H$261),0)</f>
        <v>0</v>
      </c>
      <c r="M248" s="13" t="n">
        <f aca="false">IF(I248=1,Въвеждане!$B$8/SUM($I$5:$I$261),0)</f>
        <v>0</v>
      </c>
      <c r="N248" s="13" t="n">
        <f aca="false">IF(J248=1,Въвеждане!$B$9*C248/SUMPRODUCT($C$5:$C$261,$J$5:$J$261),0)</f>
        <v>0</v>
      </c>
      <c r="O248" s="13" t="n">
        <f aca="false">IF(K248=1,Въвеждане!$B$10*C248/SUMPRODUCT($C$5:$C$261,$K$5:$K$261),0)</f>
        <v>0</v>
      </c>
      <c r="P248" s="16" t="n">
        <f aca="false">SUM(L248:O248)</f>
        <v>0</v>
      </c>
    </row>
    <row r="249" customFormat="false" ht="15" hidden="false" customHeight="false" outlineLevel="0" collapsed="false">
      <c r="A249" s="12" t="n">
        <v>245</v>
      </c>
      <c r="B249" s="12" t="s">
        <v>311</v>
      </c>
      <c r="C249" s="20" t="n">
        <v>0.152</v>
      </c>
      <c r="D249" s="12" t="s">
        <v>62</v>
      </c>
      <c r="E249" s="12" t="n">
        <v>4</v>
      </c>
      <c r="F249" s="12"/>
      <c r="H249" s="21" t="n">
        <v>1</v>
      </c>
      <c r="I249" s="21" t="n">
        <v>1</v>
      </c>
      <c r="J249" s="21" t="n">
        <v>1</v>
      </c>
      <c r="K249" s="21" t="n">
        <v>0</v>
      </c>
      <c r="L249" s="13" t="n">
        <f aca="false">IF(H249=1,Въвеждане!$B$17/SUM($H$5:$H$261),0)</f>
        <v>88.7096774193548</v>
      </c>
      <c r="M249" s="13" t="n">
        <f aca="false">IF(I249=1,Въвеждане!$B$8/SUM($I$5:$I$261),0)</f>
        <v>3.2520325203252</v>
      </c>
      <c r="N249" s="13" t="n">
        <f aca="false">IF(J249=1,Въвеждане!$B$9*C249/SUMPRODUCT($C$5:$C$261,$J$5:$J$261),0)</f>
        <v>10.1866434339711</v>
      </c>
      <c r="O249" s="13" t="n">
        <f aca="false">IF(K249=1,Въвеждане!$B$10*C249/SUMPRODUCT($C$5:$C$261,$K$5:$K$261),0)</f>
        <v>0</v>
      </c>
      <c r="P249" s="16" t="n">
        <f aca="false">SUM(L249:O249)</f>
        <v>102.148353373651</v>
      </c>
    </row>
    <row r="250" customFormat="false" ht="15" hidden="false" customHeight="false" outlineLevel="0" collapsed="false">
      <c r="A250" s="12" t="n">
        <v>246</v>
      </c>
      <c r="B250" s="12" t="s">
        <v>312</v>
      </c>
      <c r="C250" s="20" t="n">
        <v>0.205</v>
      </c>
      <c r="D250" s="12" t="s">
        <v>62</v>
      </c>
      <c r="E250" s="12" t="n">
        <v>4</v>
      </c>
      <c r="F250" s="12"/>
      <c r="H250" s="21" t="n">
        <v>1</v>
      </c>
      <c r="I250" s="21" t="n">
        <v>1</v>
      </c>
      <c r="J250" s="21" t="n">
        <v>1</v>
      </c>
      <c r="K250" s="21" t="n">
        <v>0</v>
      </c>
      <c r="L250" s="13" t="n">
        <f aca="false">IF(H250=1,Въвеждане!$B$17/SUM($H$5:$H$261),0)</f>
        <v>88.7096774193548</v>
      </c>
      <c r="M250" s="13" t="n">
        <f aca="false">IF(I250=1,Въвеждане!$B$8/SUM($I$5:$I$261),0)</f>
        <v>3.2520325203252</v>
      </c>
      <c r="N250" s="13" t="n">
        <f aca="false">IF(J250=1,Въвеждане!$B$9*C250/SUMPRODUCT($C$5:$C$261,$J$5:$J$261),0)</f>
        <v>13.7385651576584</v>
      </c>
      <c r="O250" s="13" t="n">
        <f aca="false">IF(K250=1,Въвеждане!$B$10*C250/SUMPRODUCT($C$5:$C$261,$K$5:$K$261),0)</f>
        <v>0</v>
      </c>
      <c r="P250" s="16" t="n">
        <f aca="false">SUM(L250:O250)</f>
        <v>105.700275097338</v>
      </c>
    </row>
    <row r="251" customFormat="false" ht="15" hidden="false" customHeight="false" outlineLevel="0" collapsed="false">
      <c r="A251" s="12" t="n">
        <v>247</v>
      </c>
      <c r="B251" s="12" t="s">
        <v>313</v>
      </c>
      <c r="C251" s="20" t="n">
        <v>0.419</v>
      </c>
      <c r="D251" s="12" t="s">
        <v>306</v>
      </c>
      <c r="E251" s="12" t="n">
        <v>4</v>
      </c>
      <c r="F251" s="12"/>
      <c r="H251" s="21" t="n">
        <v>0</v>
      </c>
      <c r="I251" s="21" t="n">
        <v>0</v>
      </c>
      <c r="J251" s="21" t="n">
        <v>0</v>
      </c>
      <c r="K251" s="21" t="n">
        <v>0</v>
      </c>
      <c r="L251" s="13" t="n">
        <f aca="false">IF(H251=1,Въвеждане!$B$17/SUM($H$5:$H$261),0)</f>
        <v>0</v>
      </c>
      <c r="M251" s="13" t="n">
        <f aca="false">IF(I251=1,Въвеждане!$B$8/SUM($I$5:$I$261),0)</f>
        <v>0</v>
      </c>
      <c r="N251" s="13" t="n">
        <f aca="false">IF(J251=1,Въвеждане!$B$9*C251/SUMPRODUCT($C$5:$C$261,$J$5:$J$261),0)</f>
        <v>0</v>
      </c>
      <c r="O251" s="13" t="n">
        <f aca="false">IF(K251=1,Въвеждане!$B$10*C251/SUMPRODUCT($C$5:$C$261,$K$5:$K$261),0)</f>
        <v>0</v>
      </c>
      <c r="P251" s="16" t="n">
        <f aca="false">SUM(L251:O251)</f>
        <v>0</v>
      </c>
    </row>
    <row r="252" customFormat="false" ht="15" hidden="false" customHeight="false" outlineLevel="0" collapsed="false">
      <c r="A252" s="12" t="n">
        <v>248</v>
      </c>
      <c r="B252" s="12" t="s">
        <v>314</v>
      </c>
      <c r="C252" s="20" t="n">
        <v>0.25</v>
      </c>
      <c r="D252" s="12" t="s">
        <v>62</v>
      </c>
      <c r="E252" s="12" t="n">
        <v>4</v>
      </c>
      <c r="F252" s="12"/>
      <c r="H252" s="21" t="n">
        <v>1</v>
      </c>
      <c r="I252" s="21" t="n">
        <v>1</v>
      </c>
      <c r="J252" s="21" t="n">
        <v>1</v>
      </c>
      <c r="K252" s="21" t="n">
        <v>0</v>
      </c>
      <c r="L252" s="13" t="n">
        <f aca="false">IF(H252=1,Въвеждане!$B$17/SUM($H$5:$H$261),0)</f>
        <v>88.7096774193548</v>
      </c>
      <c r="M252" s="13" t="n">
        <f aca="false">IF(I252=1,Въвеждане!$B$8/SUM($I$5:$I$261),0)</f>
        <v>3.2520325203252</v>
      </c>
      <c r="N252" s="13" t="n">
        <f aca="false">IF(J252=1,Въвеждане!$B$9*C252/SUMPRODUCT($C$5:$C$261,$J$5:$J$261),0)</f>
        <v>16.754347753242</v>
      </c>
      <c r="O252" s="13" t="n">
        <f aca="false">IF(K252=1,Въвеждане!$B$10*C252/SUMPRODUCT($C$5:$C$261,$K$5:$K$261),0)</f>
        <v>0</v>
      </c>
      <c r="P252" s="16" t="n">
        <f aca="false">SUM(L252:O252)</f>
        <v>108.716057692922</v>
      </c>
    </row>
    <row r="253" customFormat="false" ht="15" hidden="false" customHeight="false" outlineLevel="0" collapsed="false">
      <c r="A253" s="12" t="n">
        <v>249</v>
      </c>
      <c r="B253" s="12" t="s">
        <v>315</v>
      </c>
      <c r="C253" s="20" t="n">
        <v>0.311</v>
      </c>
      <c r="D253" s="12" t="s">
        <v>306</v>
      </c>
      <c r="E253" s="12" t="n">
        <v>4</v>
      </c>
      <c r="F253" s="12"/>
      <c r="H253" s="21" t="n">
        <v>0</v>
      </c>
      <c r="I253" s="21" t="n">
        <v>0</v>
      </c>
      <c r="J253" s="21" t="n">
        <v>0</v>
      </c>
      <c r="K253" s="21" t="n">
        <v>0</v>
      </c>
      <c r="L253" s="13" t="n">
        <f aca="false">IF(H253=1,Въвеждане!$B$17/SUM($H$5:$H$261),0)</f>
        <v>0</v>
      </c>
      <c r="M253" s="13" t="n">
        <f aca="false">IF(I253=1,Въвеждане!$B$8/SUM($I$5:$I$261),0)</f>
        <v>0</v>
      </c>
      <c r="N253" s="13" t="n">
        <f aca="false">IF(J253=1,Въвеждане!$B$9*C253/SUMPRODUCT($C$5:$C$261,$J$5:$J$261),0)</f>
        <v>0</v>
      </c>
      <c r="O253" s="13" t="n">
        <f aca="false">IF(K253=1,Въвеждане!$B$10*C253/SUMPRODUCT($C$5:$C$261,$K$5:$K$261),0)</f>
        <v>0</v>
      </c>
      <c r="P253" s="16" t="n">
        <f aca="false">SUM(L253:O253)</f>
        <v>0</v>
      </c>
    </row>
    <row r="254" customFormat="false" ht="15" hidden="false" customHeight="false" outlineLevel="0" collapsed="false">
      <c r="A254" s="12" t="n">
        <v>250</v>
      </c>
      <c r="B254" s="12" t="s">
        <v>316</v>
      </c>
      <c r="C254" s="20" t="n">
        <v>0.25</v>
      </c>
      <c r="D254" s="12" t="s">
        <v>62</v>
      </c>
      <c r="E254" s="12" t="n">
        <v>4</v>
      </c>
      <c r="F254" s="12"/>
      <c r="H254" s="21" t="n">
        <v>1</v>
      </c>
      <c r="I254" s="21" t="n">
        <v>1</v>
      </c>
      <c r="J254" s="21" t="n">
        <v>1</v>
      </c>
      <c r="K254" s="21" t="n">
        <v>0</v>
      </c>
      <c r="L254" s="13" t="n">
        <f aca="false">IF(H254=1,Въвеждане!$B$17/SUM($H$5:$H$261),0)</f>
        <v>88.7096774193548</v>
      </c>
      <c r="M254" s="13" t="n">
        <f aca="false">IF(I254=1,Въвеждане!$B$8/SUM($I$5:$I$261),0)</f>
        <v>3.2520325203252</v>
      </c>
      <c r="N254" s="13" t="n">
        <f aca="false">IF(J254=1,Въвеждане!$B$9*C254/SUMPRODUCT($C$5:$C$261,$J$5:$J$261),0)</f>
        <v>16.754347753242</v>
      </c>
      <c r="O254" s="13" t="n">
        <f aca="false">IF(K254=1,Въвеждане!$B$10*C254/SUMPRODUCT($C$5:$C$261,$K$5:$K$261),0)</f>
        <v>0</v>
      </c>
      <c r="P254" s="16" t="n">
        <f aca="false">SUM(L254:O254)</f>
        <v>108.716057692922</v>
      </c>
    </row>
    <row r="255" customFormat="false" ht="15" hidden="false" customHeight="false" outlineLevel="0" collapsed="false">
      <c r="A255" s="12" t="n">
        <v>251</v>
      </c>
      <c r="B255" s="12" t="s">
        <v>317</v>
      </c>
      <c r="C255" s="20" t="n">
        <v>0.305</v>
      </c>
      <c r="D255" s="12" t="s">
        <v>306</v>
      </c>
      <c r="E255" s="12" t="n">
        <v>4</v>
      </c>
      <c r="F255" s="12"/>
      <c r="H255" s="21" t="n">
        <v>0</v>
      </c>
      <c r="I255" s="21" t="n">
        <v>0</v>
      </c>
      <c r="J255" s="21" t="n">
        <v>0</v>
      </c>
      <c r="K255" s="21" t="n">
        <v>0</v>
      </c>
      <c r="L255" s="13" t="n">
        <f aca="false">IF(H255=1,Въвеждане!$B$17/SUM($H$5:$H$261),0)</f>
        <v>0</v>
      </c>
      <c r="M255" s="13" t="n">
        <f aca="false">IF(I255=1,Въвеждане!$B$8/SUM($I$5:$I$261),0)</f>
        <v>0</v>
      </c>
      <c r="N255" s="13" t="n">
        <f aca="false">IF(J255=1,Въвеждане!$B$9*C255/SUMPRODUCT($C$5:$C$261,$J$5:$J$261),0)</f>
        <v>0</v>
      </c>
      <c r="O255" s="13" t="n">
        <f aca="false">IF(K255=1,Въвеждане!$B$10*C255/SUMPRODUCT($C$5:$C$261,$K$5:$K$261),0)</f>
        <v>0</v>
      </c>
      <c r="P255" s="16" t="n">
        <f aca="false">SUM(L255:O255)</f>
        <v>0</v>
      </c>
    </row>
    <row r="256" customFormat="false" ht="15" hidden="false" customHeight="false" outlineLevel="0" collapsed="false">
      <c r="A256" s="12" t="n">
        <v>252</v>
      </c>
      <c r="B256" s="12" t="s">
        <v>318</v>
      </c>
      <c r="C256" s="20" t="n">
        <v>0.245</v>
      </c>
      <c r="D256" s="12" t="s">
        <v>62</v>
      </c>
      <c r="E256" s="12" t="n">
        <v>4</v>
      </c>
      <c r="F256" s="12"/>
      <c r="H256" s="21" t="n">
        <v>1</v>
      </c>
      <c r="I256" s="21" t="n">
        <v>1</v>
      </c>
      <c r="J256" s="21" t="n">
        <v>1</v>
      </c>
      <c r="K256" s="21" t="n">
        <v>0</v>
      </c>
      <c r="L256" s="13" t="n">
        <f aca="false">IF(H256=1,Въвеждане!$B$17/SUM($H$5:$H$261),0)</f>
        <v>88.7096774193548</v>
      </c>
      <c r="M256" s="13" t="n">
        <f aca="false">IF(I256=1,Въвеждане!$B$8/SUM($I$5:$I$261),0)</f>
        <v>3.2520325203252</v>
      </c>
      <c r="N256" s="13" t="n">
        <f aca="false">IF(J256=1,Въвеждане!$B$9*C256/SUMPRODUCT($C$5:$C$261,$J$5:$J$261),0)</f>
        <v>16.4192607981771</v>
      </c>
      <c r="O256" s="13" t="n">
        <f aca="false">IF(K256=1,Въвеждане!$B$10*C256/SUMPRODUCT($C$5:$C$261,$K$5:$K$261),0)</f>
        <v>0</v>
      </c>
      <c r="P256" s="16" t="n">
        <f aca="false">SUM(L256:O256)</f>
        <v>108.380970737857</v>
      </c>
    </row>
    <row r="257" customFormat="false" ht="15" hidden="false" customHeight="false" outlineLevel="0" collapsed="false">
      <c r="A257" s="12" t="n">
        <v>253</v>
      </c>
      <c r="B257" s="12" t="s">
        <v>319</v>
      </c>
      <c r="C257" s="20" t="n">
        <v>0.516</v>
      </c>
      <c r="D257" s="12" t="s">
        <v>62</v>
      </c>
      <c r="E257" s="12" t="n">
        <v>4</v>
      </c>
      <c r="F257" s="12"/>
      <c r="H257" s="21" t="n">
        <v>1</v>
      </c>
      <c r="I257" s="21" t="n">
        <v>1</v>
      </c>
      <c r="J257" s="21" t="n">
        <v>1</v>
      </c>
      <c r="K257" s="21" t="n">
        <v>0</v>
      </c>
      <c r="L257" s="13" t="n">
        <f aca="false">IF(H257=1,Въвеждане!$B$17/SUM($H$5:$H$261),0)</f>
        <v>88.7096774193548</v>
      </c>
      <c r="M257" s="13" t="n">
        <f aca="false">IF(I257=1,Въвеждане!$B$8/SUM($I$5:$I$261),0)</f>
        <v>3.2520325203252</v>
      </c>
      <c r="N257" s="13" t="n">
        <f aca="false">IF(J257=1,Въвеждане!$B$9*C257/SUMPRODUCT($C$5:$C$261,$J$5:$J$261),0)</f>
        <v>34.5809737626914</v>
      </c>
      <c r="O257" s="13" t="n">
        <f aca="false">IF(K257=1,Въвеждане!$B$10*C257/SUMPRODUCT($C$5:$C$261,$K$5:$K$261),0)</f>
        <v>0</v>
      </c>
      <c r="P257" s="16" t="n">
        <f aca="false">SUM(L257:O257)</f>
        <v>126.542683702371</v>
      </c>
    </row>
    <row r="258" customFormat="false" ht="15" hidden="false" customHeight="false" outlineLevel="0" collapsed="false">
      <c r="A258" s="12" t="n">
        <v>254</v>
      </c>
      <c r="B258" s="12" t="s">
        <v>320</v>
      </c>
      <c r="C258" s="20" t="n">
        <v>0.334</v>
      </c>
      <c r="D258" s="12" t="s">
        <v>306</v>
      </c>
      <c r="E258" s="12" t="n">
        <v>4</v>
      </c>
      <c r="F258" s="12"/>
      <c r="H258" s="21" t="n">
        <v>0</v>
      </c>
      <c r="I258" s="21" t="n">
        <v>0</v>
      </c>
      <c r="J258" s="21" t="n">
        <v>0</v>
      </c>
      <c r="K258" s="21" t="n">
        <v>0</v>
      </c>
      <c r="L258" s="13" t="n">
        <f aca="false">IF(H258=1,Въвеждане!$B$17/SUM($H$5:$H$261),0)</f>
        <v>0</v>
      </c>
      <c r="M258" s="13" t="n">
        <f aca="false">IF(I258=1,Въвеждане!$B$8/SUM($I$5:$I$261),0)</f>
        <v>0</v>
      </c>
      <c r="N258" s="13" t="n">
        <f aca="false">IF(J258=1,Въвеждане!$B$9*C258/SUMPRODUCT($C$5:$C$261,$J$5:$J$261),0)</f>
        <v>0</v>
      </c>
      <c r="O258" s="13" t="n">
        <f aca="false">IF(K258=1,Въвеждане!$B$10*C258/SUMPRODUCT($C$5:$C$261,$K$5:$K$261),0)</f>
        <v>0</v>
      </c>
      <c r="P258" s="16" t="n">
        <f aca="false">SUM(L258:O258)</f>
        <v>0</v>
      </c>
    </row>
    <row r="259" customFormat="false" ht="15" hidden="false" customHeight="false" outlineLevel="0" collapsed="false">
      <c r="A259" s="12" t="n">
        <v>255</v>
      </c>
      <c r="B259" s="12" t="s">
        <v>321</v>
      </c>
      <c r="C259" s="20" t="n">
        <v>0.148</v>
      </c>
      <c r="D259" s="12" t="s">
        <v>62</v>
      </c>
      <c r="E259" s="12" t="n">
        <v>4</v>
      </c>
      <c r="F259" s="12"/>
      <c r="H259" s="21" t="n">
        <v>1</v>
      </c>
      <c r="I259" s="21" t="n">
        <v>1</v>
      </c>
      <c r="J259" s="21" t="n">
        <v>1</v>
      </c>
      <c r="K259" s="21" t="n">
        <v>0</v>
      </c>
      <c r="L259" s="13" t="n">
        <f aca="false">IF(H259=1,Въвеждане!$B$17/SUM($H$5:$H$261),0)</f>
        <v>88.7096774193548</v>
      </c>
      <c r="M259" s="13" t="n">
        <f aca="false">IF(I259=1,Въвеждане!$B$8/SUM($I$5:$I$261),0)</f>
        <v>3.2520325203252</v>
      </c>
      <c r="N259" s="13" t="n">
        <f aca="false">IF(J259=1,Въвеждане!$B$9*C259/SUMPRODUCT($C$5:$C$261,$J$5:$J$261),0)</f>
        <v>9.91857386991925</v>
      </c>
      <c r="O259" s="13" t="n">
        <f aca="false">IF(K259=1,Въвеждане!$B$10*C259/SUMPRODUCT($C$5:$C$261,$K$5:$K$261),0)</f>
        <v>0</v>
      </c>
      <c r="P259" s="16" t="n">
        <f aca="false">SUM(L259:O259)</f>
        <v>101.880283809599</v>
      </c>
    </row>
    <row r="260" customFormat="false" ht="15" hidden="false" customHeight="false" outlineLevel="0" collapsed="false">
      <c r="A260" s="12" t="n">
        <v>256</v>
      </c>
      <c r="B260" s="12" t="s">
        <v>322</v>
      </c>
      <c r="C260" s="20" t="n">
        <v>0.047</v>
      </c>
      <c r="D260" s="12" t="s">
        <v>306</v>
      </c>
      <c r="E260" s="12" t="n">
        <v>4</v>
      </c>
      <c r="F260" s="12"/>
      <c r="H260" s="21" t="n">
        <v>0</v>
      </c>
      <c r="I260" s="21" t="n">
        <v>0</v>
      </c>
      <c r="J260" s="21" t="n">
        <v>0</v>
      </c>
      <c r="K260" s="21" t="n">
        <v>0</v>
      </c>
      <c r="L260" s="13" t="n">
        <f aca="false">IF(H260=1,Въвеждане!$B$17/SUM($H$5:$H$261),0)</f>
        <v>0</v>
      </c>
      <c r="M260" s="13" t="n">
        <f aca="false">IF(I260=1,Въвеждане!$B$8/SUM($I$5:$I$261),0)</f>
        <v>0</v>
      </c>
      <c r="N260" s="13" t="n">
        <f aca="false">IF(J260=1,Въвеждане!$B$9*C260/SUMPRODUCT($C$5:$C$261,$J$5:$J$261),0)</f>
        <v>0</v>
      </c>
      <c r="O260" s="13" t="n">
        <f aca="false">IF(K260=1,Въвеждане!$B$10*C260/SUMPRODUCT($C$5:$C$261,$K$5:$K$261),0)</f>
        <v>0</v>
      </c>
      <c r="P260" s="16" t="n">
        <f aca="false">SUM(L260:O260)</f>
        <v>0</v>
      </c>
    </row>
    <row r="261" customFormat="false" ht="15" hidden="false" customHeight="false" outlineLevel="0" collapsed="false">
      <c r="A261" s="12" t="n">
        <v>257</v>
      </c>
      <c r="B261" s="12" t="s">
        <v>323</v>
      </c>
      <c r="C261" s="20" t="n">
        <v>8.261</v>
      </c>
      <c r="D261" s="12" t="s">
        <v>306</v>
      </c>
      <c r="E261" s="12" t="n">
        <v>4</v>
      </c>
      <c r="F261" s="12"/>
      <c r="H261" s="21" t="n">
        <v>0</v>
      </c>
      <c r="I261" s="21" t="n">
        <v>0</v>
      </c>
      <c r="J261" s="21" t="n">
        <v>0</v>
      </c>
      <c r="K261" s="21" t="n">
        <v>0</v>
      </c>
      <c r="L261" s="13" t="n">
        <f aca="false">IF(H261=1,Въвеждане!$B$17/SUM($H$5:$H$261),0)</f>
        <v>0</v>
      </c>
      <c r="M261" s="13" t="n">
        <f aca="false">IF(I261=1,Въвеждане!$B$8/SUM($I$5:$I$261),0)</f>
        <v>0</v>
      </c>
      <c r="N261" s="13" t="n">
        <f aca="false">IF(J261=1,Въвеждане!$B$9*C261/SUMPRODUCT($C$5:$C$261,$J$5:$J$261),0)</f>
        <v>0</v>
      </c>
      <c r="O261" s="13" t="n">
        <f aca="false">IF(K261=1,Въвеждане!$B$10*C261/SUMPRODUCT($C$5:$C$261,$K$5:$K$261),0)</f>
        <v>0</v>
      </c>
      <c r="P261" s="16" t="n">
        <f aca="false">SUM(L261:O261)</f>
        <v>0</v>
      </c>
    </row>
    <row r="262" customFormat="false" ht="15" hidden="false" customHeight="false" outlineLevel="0" collapsed="false">
      <c r="A262" s="23"/>
      <c r="B262" s="24" t="s">
        <v>32</v>
      </c>
      <c r="C262" s="25" t="n">
        <f aca="false">SUM(C5:C261)</f>
        <v>100</v>
      </c>
      <c r="D262" s="23"/>
      <c r="E262" s="23"/>
      <c r="F262" s="23"/>
      <c r="H262" s="24" t="n">
        <f aca="false">SUM(H5:H261)</f>
        <v>248</v>
      </c>
      <c r="I262" s="24" t="n">
        <f aca="false">SUM(I5:I261)</f>
        <v>246</v>
      </c>
      <c r="J262" s="24" t="n">
        <f aca="false">SUM(J5:J261)</f>
        <v>248</v>
      </c>
      <c r="K262" s="24" t="n">
        <f aca="false">SUM(K5:K261)</f>
        <v>214</v>
      </c>
      <c r="L262" s="26" t="n">
        <f aca="false">SUM(L5:L261)</f>
        <v>22000</v>
      </c>
      <c r="M262" s="26" t="n">
        <f aca="false">SUM(M5:M261)</f>
        <v>800</v>
      </c>
      <c r="N262" s="26" t="n">
        <f aca="false">SUM(N5:N261)</f>
        <v>6000</v>
      </c>
      <c r="O262" s="26" t="n">
        <f aca="false">SUM(O5:O261)</f>
        <v>9000</v>
      </c>
      <c r="P262" s="26" t="n">
        <f aca="false">SUM(P5:P261)</f>
        <v>37800</v>
      </c>
    </row>
  </sheetData>
  <autoFilter ref="A4:P2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8" t="s">
        <v>324</v>
      </c>
    </row>
    <row r="2" customFormat="false" ht="15" hidden="false" customHeight="false" outlineLevel="0" collapsed="false">
      <c r="A2" s="9" t="s">
        <v>325</v>
      </c>
    </row>
    <row r="4" customFormat="false" ht="15" hidden="false" customHeight="false" outlineLevel="0" collapsed="false">
      <c r="A4" s="27" t="s">
        <v>326</v>
      </c>
      <c r="B4" s="27" t="str">
        <f aca="false">Въвеждане!B5</f>
        <v>януари 2027</v>
      </c>
    </row>
    <row r="5" customFormat="false" ht="15" hidden="false" customHeight="false" outlineLevel="0" collapsed="false">
      <c r="A5" s="27" t="s">
        <v>327</v>
      </c>
      <c r="B5" s="5" t="s">
        <v>74</v>
      </c>
    </row>
    <row r="6" customFormat="false" ht="15" hidden="false" customHeight="false" outlineLevel="0" collapsed="false">
      <c r="A6" s="27" t="s">
        <v>328</v>
      </c>
      <c r="B6" s="28" t="n">
        <f aca="false">INDEX(Обекти!C5:C261,MATCH(B5,Обекти!B5:B261,0))</f>
        <v>0.081</v>
      </c>
    </row>
    <row r="7" customFormat="false" ht="15" hidden="false" customHeight="false" outlineLevel="0" collapsed="false">
      <c r="A7" s="27"/>
      <c r="B7" s="27"/>
    </row>
    <row r="8" customFormat="false" ht="15" hidden="false" customHeight="false" outlineLevel="0" collapsed="false">
      <c r="A8" s="29" t="s">
        <v>329</v>
      </c>
      <c r="B8" s="30" t="n">
        <f aca="false">INDEX(Обекти!L5:L261,MATCH($B$5,Обекти!$B$5:$B$261,0))</f>
        <v>88.7096774193548</v>
      </c>
    </row>
    <row r="9" customFormat="false" ht="15" hidden="false" customHeight="false" outlineLevel="0" collapsed="false">
      <c r="A9" s="29" t="s">
        <v>330</v>
      </c>
      <c r="B9" s="30" t="n">
        <f aca="false">INDEX(Обекти!M5:M261,MATCH($B$5,Обекти!$B$5:$B$261,0))</f>
        <v>3.2520325203252</v>
      </c>
    </row>
    <row r="10" customFormat="false" ht="15" hidden="false" customHeight="false" outlineLevel="0" collapsed="false">
      <c r="A10" s="29" t="s">
        <v>331</v>
      </c>
      <c r="B10" s="30" t="n">
        <f aca="false">INDEX(Обекти!N5:N261,MATCH($B$5,Обекти!$B$5:$B$261,0))</f>
        <v>5.4284086720504</v>
      </c>
    </row>
    <row r="11" customFormat="false" ht="15" hidden="false" customHeight="false" outlineLevel="0" collapsed="false">
      <c r="A11" s="29" t="s">
        <v>332</v>
      </c>
      <c r="B11" s="30" t="n">
        <f aca="false">INDEX(Обекти!O5:O261,MATCH($B$5,Обекти!$B$5:$B$261,0))</f>
        <v>18.450091111561</v>
      </c>
    </row>
    <row r="12" customFormat="false" ht="15" hidden="false" customHeight="false" outlineLevel="0" collapsed="false">
      <c r="A12" s="11" t="s">
        <v>333</v>
      </c>
      <c r="B12" s="31" t="n">
        <f aca="false">SUM(B8:B11)</f>
        <v>115.840209723291</v>
      </c>
    </row>
    <row r="13" customFormat="false" ht="15" hidden="false" customHeight="false" outlineLevel="0" collapsed="false">
      <c r="A13" s="27"/>
      <c r="B13" s="27"/>
    </row>
    <row r="14" customFormat="false" ht="15" hidden="false" customHeight="false" outlineLevel="0" collapsed="false">
      <c r="A14" s="9" t="s">
        <v>334</v>
      </c>
      <c r="B14" s="27"/>
    </row>
    <row r="15" customFormat="false" ht="15" hidden="false" customHeight="false" outlineLevel="0" collapsed="false">
      <c r="A15" s="27" t="s">
        <v>335</v>
      </c>
      <c r="B15" s="32" t="n">
        <f aca="false">Въвеждане!B7</f>
        <v>25000</v>
      </c>
    </row>
    <row r="16" customFormat="false" ht="15" hidden="false" customHeight="false" outlineLevel="0" collapsed="false">
      <c r="A16" s="27" t="s">
        <v>336</v>
      </c>
      <c r="B16" s="32" t="n">
        <f aca="false">Въвеждане!B8</f>
        <v>800</v>
      </c>
    </row>
    <row r="17" customFormat="false" ht="15" hidden="false" customHeight="false" outlineLevel="0" collapsed="false">
      <c r="A17" s="27" t="s">
        <v>337</v>
      </c>
      <c r="B17" s="32" t="n">
        <f aca="false">Въвеждане!B9</f>
        <v>6000</v>
      </c>
    </row>
    <row r="18" customFormat="false" ht="15" hidden="false" customHeight="false" outlineLevel="0" collapsed="false">
      <c r="A18" s="27" t="s">
        <v>338</v>
      </c>
      <c r="B18" s="32" t="n">
        <f aca="false">Въвеждане!B10</f>
        <v>9000</v>
      </c>
    </row>
    <row r="19" customFormat="false" ht="15" hidden="false" customHeight="false" outlineLevel="0" collapsed="false">
      <c r="A19" s="27" t="s">
        <v>339</v>
      </c>
      <c r="B19" s="32" t="n">
        <f aca="false">Въвеждане!B12</f>
        <v>3000</v>
      </c>
    </row>
    <row r="20" customFormat="false" ht="15" hidden="false" customHeight="false" outlineLevel="0" collapsed="false">
      <c r="A20" s="27" t="s">
        <v>340</v>
      </c>
      <c r="B20" s="32" t="n">
        <f aca="false">Въвеждане!B16</f>
        <v>3000</v>
      </c>
    </row>
  </sheetData>
  <dataValidations count="1">
    <dataValidation allowBlank="false" errorStyle="stop" operator="between" showDropDown="false" showErrorMessage="false" showInputMessage="false" sqref="B5" type="list">
      <formula1>Обекти!$B$5:$B$261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2026-10-22T21:24:48Z</dcterms:created>
  <dc:creator>openpyxl</dc:creator>
  <dc:description/>
  <dc:language>en-US</dc:language>
  <cp:lastModifiedBy/>
  <dcterms:modified xsi:type="dcterms:W3CDTF">2026-10-22T21:24:49Z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